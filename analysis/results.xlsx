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stockholmuniversity-my.sharepoint.com/personal/nech2600_win_su_se/Documents/PSHCAF/analysis/"/>
    </mc:Choice>
  </mc:AlternateContent>
  <xr:revisionPtr revIDLastSave="320" documentId="8_{2793F56E-9C25-4C3B-BEFC-07BEA0E0510D}" xr6:coauthVersionLast="47" xr6:coauthVersionMax="47" xr10:uidLastSave="{56475E06-1F56-4EC0-96F8-A90B27757CAD}"/>
  <bookViews>
    <workbookView xWindow="-120" yWindow="-120" windowWidth="38640" windowHeight="21120" xr2:uid="{3A8DD828-E0D5-40AE-9AFF-68DADB20DF39}"/>
  </bookViews>
  <sheets>
    <sheet name="wTask" sheetId="3" r:id="rId1"/>
    <sheet name="wOver" sheetId="2" r:id="rId2"/>
    <sheet name="Ratios" sheetId="1" r:id="rId3"/>
    <sheet name="task time stdev" sheetId="4" r:id="rId4"/>
  </sheets>
  <definedNames>
    <definedName name="ExternalData_1" localSheetId="1" hidden="1">wOver!$A$1:$H$71</definedName>
    <definedName name="ExternalData_2" localSheetId="0" hidden="1">wTask!$A$1:$H$71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 a="1"/>
  <c r="H2" i="4" s="1"/>
  <c r="H3" i="4" a="1"/>
  <c r="H3" i="4" s="1"/>
  <c r="H4" i="4" a="1"/>
  <c r="H4" i="4" s="1"/>
  <c r="H5" i="4" a="1"/>
  <c r="H5" i="4"/>
  <c r="H6" i="4" a="1"/>
  <c r="H6" i="4" s="1"/>
  <c r="H7" i="4" a="1"/>
  <c r="H7" i="4" s="1"/>
  <c r="H8" i="4" a="1"/>
  <c r="H8" i="4" s="1"/>
  <c r="H9" i="4" a="1"/>
  <c r="H9" i="4"/>
  <c r="H10" i="4" a="1"/>
  <c r="H10" i="4" s="1"/>
  <c r="H11" i="4" a="1"/>
  <c r="H11" i="4" s="1"/>
  <c r="G2" i="4" a="1"/>
  <c r="G2" i="4" s="1"/>
  <c r="G3" i="4" a="1"/>
  <c r="G3" i="4"/>
  <c r="G4" i="4" a="1"/>
  <c r="G4" i="4" s="1"/>
  <c r="G5" i="4" a="1"/>
  <c r="G5" i="4"/>
  <c r="G6" i="4" a="1"/>
  <c r="G6" i="4" s="1"/>
  <c r="G7" i="4" a="1"/>
  <c r="G7" i="4" s="1"/>
  <c r="G8" i="4" a="1"/>
  <c r="G8" i="4" s="1"/>
  <c r="G9" i="4" a="1"/>
  <c r="G9" i="4"/>
  <c r="G10" i="4" a="1"/>
  <c r="G10" i="4" s="1"/>
  <c r="G11" i="4" a="1"/>
  <c r="G11" i="4" s="1"/>
  <c r="F2" i="4" a="1"/>
  <c r="F2" i="4"/>
  <c r="F3" i="4" a="1"/>
  <c r="F3" i="4" s="1"/>
  <c r="F4" i="4" a="1"/>
  <c r="F4" i="4" s="1"/>
  <c r="F5" i="4" a="1"/>
  <c r="F5" i="4"/>
  <c r="F6" i="4" a="1"/>
  <c r="F6" i="4" s="1"/>
  <c r="F7" i="4" a="1"/>
  <c r="F7" i="4" s="1"/>
  <c r="F8" i="4" a="1"/>
  <c r="F8" i="4" s="1"/>
  <c r="F9" i="4" a="1"/>
  <c r="F9" i="4"/>
  <c r="F10" i="4" a="1"/>
  <c r="F10" i="4" s="1"/>
  <c r="F11" i="4" a="1"/>
  <c r="F11" i="4" s="1"/>
  <c r="E2" i="4" a="1"/>
  <c r="E2" i="4" s="1"/>
  <c r="E3" i="4" a="1"/>
  <c r="E3" i="4" s="1"/>
  <c r="E4" i="4" a="1"/>
  <c r="E4" i="4" s="1"/>
  <c r="E5" i="4" a="1"/>
  <c r="E5" i="4"/>
  <c r="E6" i="4" a="1"/>
  <c r="E6" i="4" s="1"/>
  <c r="E7" i="4" a="1"/>
  <c r="E7" i="4" s="1"/>
  <c r="E8" i="4" a="1"/>
  <c r="E8" i="4" s="1"/>
  <c r="E9" i="4" a="1"/>
  <c r="E9" i="4"/>
  <c r="E10" i="4" a="1"/>
  <c r="E10" i="4" s="1"/>
  <c r="E11" i="4" a="1"/>
  <c r="E11" i="4" s="1"/>
  <c r="D2" i="4" a="1"/>
  <c r="D2" i="4" s="1"/>
  <c r="D3" i="4" a="1"/>
  <c r="D3" i="4" s="1"/>
  <c r="D4" i="4" a="1"/>
  <c r="D4" i="4" s="1"/>
  <c r="D5" i="4" a="1"/>
  <c r="D5" i="4"/>
  <c r="D6" i="4" a="1"/>
  <c r="D6" i="4" s="1"/>
  <c r="D7" i="4" a="1"/>
  <c r="D7" i="4" s="1"/>
  <c r="D8" i="4" a="1"/>
  <c r="D8" i="4" s="1"/>
  <c r="D9" i="4" a="1"/>
  <c r="D9" i="4"/>
  <c r="D10" i="4" a="1"/>
  <c r="D10" i="4" s="1"/>
  <c r="D11" i="4" a="1"/>
  <c r="D11" i="4" s="1"/>
  <c r="C2" i="4" a="1"/>
  <c r="C2" i="4" s="1"/>
  <c r="C3" i="4" a="1"/>
  <c r="C3" i="4" s="1"/>
  <c r="C4" i="4" a="1"/>
  <c r="C4" i="4" s="1"/>
  <c r="C5" i="4" a="1"/>
  <c r="C5" i="4" s="1"/>
  <c r="C6" i="4" a="1"/>
  <c r="C6" i="4" s="1"/>
  <c r="C7" i="4" a="1"/>
  <c r="C7" i="4" s="1"/>
  <c r="C8" i="4" a="1"/>
  <c r="C8" i="4" s="1"/>
  <c r="C9" i="4" a="1"/>
  <c r="C9" i="4" s="1"/>
  <c r="C10" i="4" a="1"/>
  <c r="C10" i="4" s="1"/>
  <c r="C11" i="4" a="1"/>
  <c r="C11" i="4" s="1"/>
  <c r="B2" i="4" a="1"/>
  <c r="B2" i="4" s="1"/>
  <c r="B3" i="4" a="1"/>
  <c r="B3" i="4" s="1"/>
  <c r="B4" i="4" a="1"/>
  <c r="B4" i="4" s="1"/>
  <c r="B5" i="4" a="1"/>
  <c r="B5" i="4" s="1"/>
  <c r="B6" i="4" a="1"/>
  <c r="B6" i="4" s="1"/>
  <c r="B7" i="4" a="1"/>
  <c r="B7" i="4" s="1"/>
  <c r="B8" i="4" a="1"/>
  <c r="B8" i="4" s="1"/>
  <c r="B9" i="4" a="1"/>
  <c r="B9" i="4" s="1"/>
  <c r="B10" i="4" a="1"/>
  <c r="B10" i="4" s="1"/>
  <c r="B11" i="4" a="1"/>
  <c r="B11" i="4" s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J2" i="3"/>
  <c r="J3" i="3"/>
  <c r="J4" i="3"/>
  <c r="J5" i="3"/>
  <c r="J6" i="3"/>
  <c r="J7" i="3"/>
  <c r="J8" i="3"/>
  <c r="J9" i="3"/>
  <c r="J10" i="3"/>
  <c r="J11" i="3"/>
  <c r="J22" i="3"/>
  <c r="J23" i="3"/>
  <c r="J24" i="3"/>
  <c r="J25" i="3"/>
  <c r="J26" i="3"/>
  <c r="J27" i="3"/>
  <c r="J28" i="3"/>
  <c r="J29" i="3"/>
  <c r="J30" i="3"/>
  <c r="J31" i="3"/>
  <c r="J52" i="3"/>
  <c r="J53" i="3"/>
  <c r="J54" i="3"/>
  <c r="J55" i="3"/>
  <c r="J56" i="3"/>
  <c r="J57" i="3"/>
  <c r="J58" i="3"/>
  <c r="J59" i="3"/>
  <c r="J60" i="3"/>
  <c r="J6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12" i="3"/>
  <c r="J13" i="3"/>
  <c r="J14" i="3"/>
  <c r="J15" i="3"/>
  <c r="J16" i="3"/>
  <c r="J17" i="3"/>
  <c r="J18" i="3"/>
  <c r="J19" i="3"/>
  <c r="J20" i="3"/>
  <c r="J21" i="3"/>
  <c r="J62" i="3"/>
  <c r="J63" i="3"/>
  <c r="J64" i="3"/>
  <c r="J65" i="3"/>
  <c r="J66" i="3"/>
  <c r="J67" i="3"/>
  <c r="J68" i="3"/>
  <c r="J69" i="3"/>
  <c r="J70" i="3"/>
  <c r="J71" i="3"/>
  <c r="I2" i="3"/>
  <c r="K2" i="1" s="1"/>
  <c r="I3" i="3"/>
  <c r="K3" i="1" s="1"/>
  <c r="I4" i="3"/>
  <c r="K4" i="1" s="1"/>
  <c r="I5" i="3"/>
  <c r="K5" i="1" s="1"/>
  <c r="I6" i="3"/>
  <c r="K6" i="1" s="1"/>
  <c r="I7" i="3"/>
  <c r="K7" i="1" s="1"/>
  <c r="I8" i="3"/>
  <c r="K8" i="1" s="1"/>
  <c r="I9" i="3"/>
  <c r="K9" i="1" s="1"/>
  <c r="I10" i="3"/>
  <c r="K10" i="1" s="1"/>
  <c r="I11" i="3"/>
  <c r="K11" i="1" s="1"/>
  <c r="I22" i="3"/>
  <c r="K22" i="1" s="1"/>
  <c r="I23" i="3"/>
  <c r="K23" i="1" s="1"/>
  <c r="I24" i="3"/>
  <c r="K24" i="1" s="1"/>
  <c r="I25" i="3"/>
  <c r="K25" i="1" s="1"/>
  <c r="I26" i="3"/>
  <c r="K26" i="1" s="1"/>
  <c r="I27" i="3"/>
  <c r="K27" i="1" s="1"/>
  <c r="I28" i="3"/>
  <c r="K28" i="1" s="1"/>
  <c r="I29" i="3"/>
  <c r="K29" i="1" s="1"/>
  <c r="I30" i="3"/>
  <c r="K30" i="1" s="1"/>
  <c r="I31" i="3"/>
  <c r="K31" i="1" s="1"/>
  <c r="I52" i="3"/>
  <c r="K52" i="1" s="1"/>
  <c r="I53" i="3"/>
  <c r="K53" i="1" s="1"/>
  <c r="I54" i="3"/>
  <c r="K54" i="1" s="1"/>
  <c r="I55" i="3"/>
  <c r="K55" i="1" s="1"/>
  <c r="I56" i="3"/>
  <c r="K56" i="1" s="1"/>
  <c r="I57" i="3"/>
  <c r="K57" i="1" s="1"/>
  <c r="I58" i="3"/>
  <c r="K58" i="1" s="1"/>
  <c r="I59" i="3"/>
  <c r="K59" i="1" s="1"/>
  <c r="I60" i="3"/>
  <c r="K60" i="1" s="1"/>
  <c r="I61" i="3"/>
  <c r="K61" i="1" s="1"/>
  <c r="I32" i="3"/>
  <c r="K32" i="1" s="1"/>
  <c r="I33" i="3"/>
  <c r="K33" i="1" s="1"/>
  <c r="I34" i="3"/>
  <c r="K34" i="1" s="1"/>
  <c r="I35" i="3"/>
  <c r="K35" i="1" s="1"/>
  <c r="I36" i="3"/>
  <c r="K36" i="1" s="1"/>
  <c r="I37" i="3"/>
  <c r="K37" i="1" s="1"/>
  <c r="I38" i="3"/>
  <c r="K38" i="1" s="1"/>
  <c r="I39" i="3"/>
  <c r="K39" i="1" s="1"/>
  <c r="I40" i="3"/>
  <c r="K40" i="1" s="1"/>
  <c r="I41" i="3"/>
  <c r="K41" i="1" s="1"/>
  <c r="I42" i="3"/>
  <c r="K42" i="1" s="1"/>
  <c r="I43" i="3"/>
  <c r="K43" i="1" s="1"/>
  <c r="I44" i="3"/>
  <c r="K44" i="1" s="1"/>
  <c r="I45" i="3"/>
  <c r="K45" i="1" s="1"/>
  <c r="I46" i="3"/>
  <c r="K46" i="1" s="1"/>
  <c r="I47" i="3"/>
  <c r="K47" i="1" s="1"/>
  <c r="I48" i="3"/>
  <c r="K48" i="1" s="1"/>
  <c r="I49" i="3"/>
  <c r="K49" i="1" s="1"/>
  <c r="I50" i="3"/>
  <c r="K50" i="1" s="1"/>
  <c r="I51" i="3"/>
  <c r="K51" i="1" s="1"/>
  <c r="I12" i="3"/>
  <c r="K12" i="1" s="1"/>
  <c r="I13" i="3"/>
  <c r="K13" i="1" s="1"/>
  <c r="I14" i="3"/>
  <c r="K14" i="1" s="1"/>
  <c r="I15" i="3"/>
  <c r="K15" i="1" s="1"/>
  <c r="I16" i="3"/>
  <c r="K16" i="1" s="1"/>
  <c r="I17" i="3"/>
  <c r="K17" i="1" s="1"/>
  <c r="I18" i="3"/>
  <c r="K18" i="1" s="1"/>
  <c r="I19" i="3"/>
  <c r="K19" i="1" s="1"/>
  <c r="I20" i="3"/>
  <c r="K20" i="1" s="1"/>
  <c r="I21" i="3"/>
  <c r="K21" i="1" s="1"/>
  <c r="I62" i="3"/>
  <c r="K62" i="1" s="1"/>
  <c r="I63" i="3"/>
  <c r="K63" i="1" s="1"/>
  <c r="I64" i="3"/>
  <c r="K64" i="1" s="1"/>
  <c r="I65" i="3"/>
  <c r="K65" i="1" s="1"/>
  <c r="I66" i="3"/>
  <c r="K66" i="1" s="1"/>
  <c r="I67" i="3"/>
  <c r="K67" i="1" s="1"/>
  <c r="I68" i="3"/>
  <c r="K68" i="1" s="1"/>
  <c r="I69" i="3"/>
  <c r="K69" i="1" s="1"/>
  <c r="I70" i="3"/>
  <c r="K70" i="1" s="1"/>
  <c r="I71" i="3"/>
  <c r="K71" i="1" s="1"/>
  <c r="J2" i="2"/>
  <c r="J3" i="2"/>
  <c r="J4" i="2"/>
  <c r="J5" i="2"/>
  <c r="J6" i="2"/>
  <c r="J7" i="2"/>
  <c r="J8" i="2"/>
  <c r="J9" i="2"/>
  <c r="J10" i="2"/>
  <c r="J11" i="2"/>
  <c r="J22" i="2"/>
  <c r="J23" i="2"/>
  <c r="J24" i="2"/>
  <c r="J25" i="2"/>
  <c r="J26" i="2"/>
  <c r="J27" i="2"/>
  <c r="J28" i="2"/>
  <c r="J29" i="2"/>
  <c r="J30" i="2"/>
  <c r="J31" i="2"/>
  <c r="J52" i="2"/>
  <c r="J53" i="2"/>
  <c r="J54" i="2"/>
  <c r="J55" i="2"/>
  <c r="J56" i="2"/>
  <c r="J57" i="2"/>
  <c r="J58" i="2"/>
  <c r="J59" i="2"/>
  <c r="J60" i="2"/>
  <c r="J6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12" i="2"/>
  <c r="J13" i="2"/>
  <c r="J14" i="2"/>
  <c r="J15" i="2"/>
  <c r="J16" i="2"/>
  <c r="J17" i="2"/>
  <c r="J18" i="2"/>
  <c r="J19" i="2"/>
  <c r="J20" i="2"/>
  <c r="J21" i="2"/>
  <c r="J62" i="2"/>
  <c r="J63" i="2"/>
  <c r="J64" i="2"/>
  <c r="J65" i="2"/>
  <c r="J66" i="2"/>
  <c r="J67" i="2"/>
  <c r="J68" i="2"/>
  <c r="J69" i="2"/>
  <c r="J70" i="2"/>
  <c r="J71" i="2"/>
  <c r="I2" i="2"/>
  <c r="L2" i="1" s="1"/>
  <c r="I3" i="2"/>
  <c r="L3" i="1" s="1"/>
  <c r="I4" i="2"/>
  <c r="L4" i="1" s="1"/>
  <c r="I5" i="2"/>
  <c r="L5" i="1" s="1"/>
  <c r="I6" i="2"/>
  <c r="L6" i="1" s="1"/>
  <c r="I7" i="2"/>
  <c r="L7" i="1" s="1"/>
  <c r="I8" i="2"/>
  <c r="L8" i="1" s="1"/>
  <c r="I9" i="2"/>
  <c r="L9" i="1" s="1"/>
  <c r="I10" i="2"/>
  <c r="L10" i="1" s="1"/>
  <c r="I11" i="2"/>
  <c r="L11" i="1" s="1"/>
  <c r="I22" i="2"/>
  <c r="L22" i="1" s="1"/>
  <c r="I23" i="2"/>
  <c r="L23" i="1" s="1"/>
  <c r="I24" i="2"/>
  <c r="L24" i="1" s="1"/>
  <c r="I25" i="2"/>
  <c r="L25" i="1" s="1"/>
  <c r="I26" i="2"/>
  <c r="L26" i="1" s="1"/>
  <c r="I27" i="2"/>
  <c r="L27" i="1" s="1"/>
  <c r="I28" i="2"/>
  <c r="L28" i="1" s="1"/>
  <c r="I29" i="2"/>
  <c r="L29" i="1" s="1"/>
  <c r="I30" i="2"/>
  <c r="L30" i="1" s="1"/>
  <c r="I31" i="2"/>
  <c r="L31" i="1" s="1"/>
  <c r="I52" i="2"/>
  <c r="L52" i="1" s="1"/>
  <c r="I53" i="2"/>
  <c r="L53" i="1" s="1"/>
  <c r="I54" i="2"/>
  <c r="L54" i="1" s="1"/>
  <c r="I55" i="2"/>
  <c r="L55" i="1" s="1"/>
  <c r="I56" i="2"/>
  <c r="L56" i="1" s="1"/>
  <c r="I57" i="2"/>
  <c r="L57" i="1" s="1"/>
  <c r="I58" i="2"/>
  <c r="L58" i="1" s="1"/>
  <c r="I59" i="2"/>
  <c r="L59" i="1" s="1"/>
  <c r="I60" i="2"/>
  <c r="L60" i="1" s="1"/>
  <c r="I61" i="2"/>
  <c r="L61" i="1" s="1"/>
  <c r="I32" i="2"/>
  <c r="L32" i="1" s="1"/>
  <c r="I33" i="2"/>
  <c r="L33" i="1" s="1"/>
  <c r="I34" i="2"/>
  <c r="L34" i="1" s="1"/>
  <c r="I35" i="2"/>
  <c r="L35" i="1" s="1"/>
  <c r="I36" i="2"/>
  <c r="L36" i="1" s="1"/>
  <c r="I37" i="2"/>
  <c r="L37" i="1" s="1"/>
  <c r="I38" i="2"/>
  <c r="L38" i="1" s="1"/>
  <c r="I39" i="2"/>
  <c r="L39" i="1" s="1"/>
  <c r="I40" i="2"/>
  <c r="L40" i="1" s="1"/>
  <c r="I41" i="2"/>
  <c r="L41" i="1" s="1"/>
  <c r="I42" i="2"/>
  <c r="L42" i="1" s="1"/>
  <c r="I43" i="2"/>
  <c r="L43" i="1" s="1"/>
  <c r="I44" i="2"/>
  <c r="L44" i="1" s="1"/>
  <c r="I45" i="2"/>
  <c r="L45" i="1" s="1"/>
  <c r="I46" i="2"/>
  <c r="L46" i="1" s="1"/>
  <c r="I47" i="2"/>
  <c r="L47" i="1" s="1"/>
  <c r="I48" i="2"/>
  <c r="L48" i="1" s="1"/>
  <c r="I49" i="2"/>
  <c r="L49" i="1" s="1"/>
  <c r="I50" i="2"/>
  <c r="L50" i="1" s="1"/>
  <c r="I51" i="2"/>
  <c r="L51" i="1" s="1"/>
  <c r="I12" i="2"/>
  <c r="L12" i="1" s="1"/>
  <c r="I13" i="2"/>
  <c r="L13" i="1" s="1"/>
  <c r="I14" i="2"/>
  <c r="L14" i="1" s="1"/>
  <c r="I15" i="2"/>
  <c r="L15" i="1" s="1"/>
  <c r="I16" i="2"/>
  <c r="L16" i="1" s="1"/>
  <c r="I17" i="2"/>
  <c r="L17" i="1" s="1"/>
  <c r="I18" i="2"/>
  <c r="L18" i="1" s="1"/>
  <c r="I19" i="2"/>
  <c r="L19" i="1" s="1"/>
  <c r="I20" i="2"/>
  <c r="L20" i="1" s="1"/>
  <c r="I21" i="2"/>
  <c r="L21" i="1" s="1"/>
  <c r="I62" i="2"/>
  <c r="L62" i="1" s="1"/>
  <c r="I63" i="2"/>
  <c r="L63" i="1" s="1"/>
  <c r="I64" i="2"/>
  <c r="L64" i="1" s="1"/>
  <c r="I65" i="2"/>
  <c r="L65" i="1" s="1"/>
  <c r="I66" i="2"/>
  <c r="L66" i="1" s="1"/>
  <c r="I67" i="2"/>
  <c r="L67" i="1" s="1"/>
  <c r="I68" i="2"/>
  <c r="L68" i="1" s="1"/>
  <c r="I69" i="2"/>
  <c r="L69" i="1" s="1"/>
  <c r="I70" i="2"/>
  <c r="L70" i="1" s="1"/>
  <c r="I71" i="2"/>
  <c r="L71" i="1" s="1"/>
  <c r="I64" i="1" l="1"/>
  <c r="I56" i="1"/>
  <c r="I48" i="1"/>
  <c r="I40" i="1"/>
  <c r="I32" i="1"/>
  <c r="I24" i="1"/>
  <c r="I16" i="1"/>
  <c r="I8" i="1"/>
  <c r="I55" i="1"/>
  <c r="I71" i="1"/>
  <c r="I47" i="1"/>
  <c r="I31" i="1"/>
  <c r="I7" i="1"/>
  <c r="I63" i="1"/>
  <c r="I39" i="1"/>
  <c r="I23" i="1"/>
  <c r="I15" i="1"/>
  <c r="I65" i="1"/>
  <c r="I57" i="1"/>
  <c r="I49" i="1"/>
  <c r="I41" i="1"/>
  <c r="I33" i="1"/>
  <c r="I25" i="1"/>
  <c r="I17" i="1"/>
  <c r="I9" i="1"/>
  <c r="J67" i="1"/>
  <c r="J59" i="1"/>
  <c r="J51" i="1"/>
  <c r="J43" i="1"/>
  <c r="J35" i="1"/>
  <c r="J27" i="1"/>
  <c r="J19" i="1"/>
  <c r="J11" i="1"/>
  <c r="J3" i="1"/>
  <c r="J66" i="1"/>
  <c r="J58" i="1"/>
  <c r="J50" i="1"/>
  <c r="J42" i="1"/>
  <c r="J34" i="1"/>
  <c r="J26" i="1"/>
  <c r="J18" i="1"/>
  <c r="J10" i="1"/>
  <c r="J2" i="1"/>
  <c r="I70" i="1"/>
  <c r="I62" i="1"/>
  <c r="I54" i="1"/>
  <c r="I46" i="1"/>
  <c r="I38" i="1"/>
  <c r="I30" i="1"/>
  <c r="I22" i="1"/>
  <c r="I14" i="1"/>
  <c r="I6" i="1"/>
  <c r="I69" i="1"/>
  <c r="I61" i="1"/>
  <c r="I53" i="1"/>
  <c r="I45" i="1"/>
  <c r="I37" i="1"/>
  <c r="I29" i="1"/>
  <c r="I21" i="1"/>
  <c r="I13" i="1"/>
  <c r="I5" i="1"/>
  <c r="I68" i="1"/>
  <c r="I60" i="1"/>
  <c r="I52" i="1"/>
  <c r="I44" i="1"/>
  <c r="I36" i="1"/>
  <c r="I28" i="1"/>
  <c r="I20" i="1"/>
  <c r="I12" i="1"/>
  <c r="I4" i="1"/>
  <c r="I67" i="1"/>
  <c r="I59" i="1"/>
  <c r="I51" i="1"/>
  <c r="I43" i="1"/>
  <c r="I35" i="1"/>
  <c r="I27" i="1"/>
  <c r="I19" i="1"/>
  <c r="I11" i="1"/>
  <c r="I3" i="1"/>
  <c r="J65" i="1"/>
  <c r="J57" i="1"/>
  <c r="J49" i="1"/>
  <c r="J41" i="1"/>
  <c r="J33" i="1"/>
  <c r="J25" i="1"/>
  <c r="J17" i="1"/>
  <c r="J9" i="1"/>
  <c r="I66" i="1"/>
  <c r="I58" i="1"/>
  <c r="I50" i="1"/>
  <c r="I42" i="1"/>
  <c r="I34" i="1"/>
  <c r="I26" i="1"/>
  <c r="I18" i="1"/>
  <c r="I10" i="1"/>
  <c r="I2" i="1"/>
  <c r="J64" i="1"/>
  <c r="J56" i="1"/>
  <c r="J48" i="1"/>
  <c r="J40" i="1"/>
  <c r="J32" i="1"/>
  <c r="J24" i="1"/>
  <c r="J16" i="1"/>
  <c r="J8" i="1"/>
  <c r="J71" i="1"/>
  <c r="J63" i="1"/>
  <c r="J55" i="1"/>
  <c r="J47" i="1"/>
  <c r="J39" i="1"/>
  <c r="J31" i="1"/>
  <c r="J23" i="1"/>
  <c r="J15" i="1"/>
  <c r="J7" i="1"/>
  <c r="J70" i="1"/>
  <c r="J62" i="1"/>
  <c r="J54" i="1"/>
  <c r="J46" i="1"/>
  <c r="J38" i="1"/>
  <c r="J30" i="1"/>
  <c r="J22" i="1"/>
  <c r="J14" i="1"/>
  <c r="J6" i="1"/>
  <c r="J69" i="1"/>
  <c r="J61" i="1"/>
  <c r="J53" i="1"/>
  <c r="J45" i="1"/>
  <c r="J37" i="1"/>
  <c r="J29" i="1"/>
  <c r="J21" i="1"/>
  <c r="J13" i="1"/>
  <c r="J5" i="1"/>
  <c r="J68" i="1"/>
  <c r="J60" i="1"/>
  <c r="J52" i="1"/>
  <c r="J44" i="1"/>
  <c r="J36" i="1"/>
  <c r="J28" i="1"/>
  <c r="J20" i="1"/>
  <c r="J12" i="1"/>
  <c r="J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CF550-5EC7-4E01-BF5B-196F5ACDF0EF}" keepAlive="1" name="Query - wOver" description="Connection to the 'wOver' query in the workbook." type="5" refreshedVersion="8" background="1" saveData="1">
    <dbPr connection="Provider=Microsoft.Mashup.OleDb.1;Data Source=$Workbook$;Location=wOver;Extended Properties=&quot;&quot;" command="SELECT * FROM [wOver]"/>
  </connection>
  <connection id="2" xr16:uid="{F3113641-00BB-4104-9409-F577A66D40F8}" keepAlive="1" name="Query - wTask" description="Connection to the 'wTask' query in the workbook." type="5" refreshedVersion="8" background="1" saveData="1">
    <dbPr connection="Provider=Microsoft.Mashup.OleDb.1;Data Source=$Workbook$;Location=wTask;Extended Properties=&quot;&quot;" command="SELECT * FROM [wTas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<sst xmlns="http://schemas.openxmlformats.org/spreadsheetml/2006/main" count="180" uniqueCount="20">
  <si>
    <t>FCFS</t>
  </si>
  <si>
    <t>LCFS</t>
  </si>
  <si>
    <t>SJF</t>
  </si>
  <si>
    <t>LJF</t>
  </si>
  <si>
    <t>RR</t>
  </si>
  <si>
    <t>LBW</t>
  </si>
  <si>
    <t>WS</t>
  </si>
  <si>
    <t>Heuristic</t>
  </si>
  <si>
    <t>Variance</t>
  </si>
  <si>
    <t>W1</t>
  </si>
  <si>
    <t>W2</t>
  </si>
  <si>
    <t>W3</t>
  </si>
  <si>
    <t>W4</t>
  </si>
  <si>
    <t>W5</t>
  </si>
  <si>
    <t>W6</t>
  </si>
  <si>
    <t>Mean</t>
  </si>
  <si>
    <t>StDev</t>
  </si>
  <si>
    <t>Average</t>
  </si>
  <si>
    <t>AvT</t>
  </si>
  <si>
    <t>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</si>
</sst>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NumberFormat="1"/>
    <xf numFmtId="0" fontId="0" fillId="0" borderId="2" xfId="0" applyBorder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Fill="1"/>
    <xf numFmtId="0" fontId="0" fillId="0" borderId="1" xfId="0" applyNumberFormat="1" applyFont="1" applyFill="1" applyBorder="1"/>
    <xf numFmtId="0" fontId="0" fillId="0" borderId="1" xfId="0" applyFont="1" applyFill="1" applyBorder="1"/>
    <xf numFmtId="0" fontId="0" fillId="0" borderId="2" xfId="0" applyFill="1" applyBorder="1"/>
    <xf numFmtId="0" fontId="0" fillId="0" borderId="0" xfId="0" applyNumberFormat="1" applyFont="1" applyFill="1" applyBorder="1"/>
    <xf numFmtId="0" fontId="0" fillId="0" borderId="0" xfId="0" applyFont="1" applyFill="1" applyBorder="1"/>
    <xf numFmtId="0" fontId="0" fillId="0" borderId="0" xfId="0" applyNumberFormat="1" applyFill="1"/>
    <xf numFmtId="0" fontId="0" fillId="0" borderId="2" xfId="0" applyNumberFormat="1" applyFill="1" applyBorder="1"/>
    <xf numFmtId="0" fontId="0" fillId="0" borderId="3" xfId="0" applyNumberFormat="1" applyBorder="1"/>
    <xf numFmtId="0" fontId="0" fillId="0" borderId="3" xfId="0" applyBorder="1"/>
    <xf numFmtId="0" fontId="0" fillId="0" borderId="4" xfId="0" applyBorder="1"/>
    <xf numFmtId="0" fontId="0" fillId="0" borderId="3" xfId="0" applyNumberFormat="1" applyFont="1" applyFill="1" applyBorder="1"/>
    <xf numFmtId="0" fontId="0" fillId="0" borderId="3" xfId="0" applyFont="1" applyFill="1" applyBorder="1"/>
    <xf numFmtId="0" fontId="0" fillId="0" borderId="4" xfId="0" applyFill="1" applyBorder="1"/>
    <xf numFmtId="0" fontId="0" fillId="0" borderId="3" xfId="0" applyFill="1" applyBorder="1"/>
    <xf numFmtId="0" fontId="0" fillId="0" borderId="4" xfId="0" applyNumberFormat="1" applyFill="1" applyBorder="1"/>
    <xf numFmtId="0" fontId="0" fillId="0" borderId="3" xfId="0" applyNumberFormat="1" applyFill="1" applyBorder="1"/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Ratios!$B$2:$B$11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Ratios!$I$2:$I$11</c:f>
              <c:numCache>
                <c:formatCode>General</c:formatCode>
                <c:ptCount val="10"/>
                <c:pt idx="0">
                  <c:v>5.0380386484280906E-3</c:v>
                </c:pt>
                <c:pt idx="1">
                  <c:v>4.7635555307104921E-3</c:v>
                </c:pt>
                <c:pt idx="2">
                  <c:v>4.7715053786796724E-3</c:v>
                </c:pt>
                <c:pt idx="3">
                  <c:v>4.7859861488914876E-3</c:v>
                </c:pt>
                <c:pt idx="4">
                  <c:v>4.8180117691236724E-3</c:v>
                </c:pt>
                <c:pt idx="5">
                  <c:v>5.0767849622787879E-3</c:v>
                </c:pt>
                <c:pt idx="6">
                  <c:v>4.5521264237884341E-3</c:v>
                </c:pt>
                <c:pt idx="7">
                  <c:v>5.3496811812591702E-3</c:v>
                </c:pt>
                <c:pt idx="8">
                  <c:v>4.1765191846167117E-3</c:v>
                </c:pt>
                <c:pt idx="9">
                  <c:v>7.0721645380905016E-3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C-4519-9CCD-35EB02AB9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Ratios!$B$2:$B$11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Ratios!$J$2:$J$11</c:f>
              <c:numCache>
                <c:formatCode>General</c:formatCode>
                <c:ptCount val="10"/>
                <c:pt idx="0">
                  <c:v>2.4758467335942516E-3</c:v>
                </c:pt>
                <c:pt idx="1">
                  <c:v>2.3360154707160073E-3</c:v>
                </c:pt>
                <c:pt idx="2">
                  <c:v>2.3283229266167116E-3</c:v>
                </c:pt>
                <c:pt idx="3">
                  <c:v>2.3464641912014379E-3</c:v>
                </c:pt>
                <c:pt idx="4">
                  <c:v>2.3183655868662693E-3</c:v>
                </c:pt>
                <c:pt idx="5">
                  <c:v>2.4370322303257142E-3</c:v>
                </c:pt>
                <c:pt idx="6">
                  <c:v>2.3153615718302322E-3</c:v>
                </c:pt>
                <c:pt idx="7">
                  <c:v>1.7453569499053653E-3</c:v>
                </c:pt>
                <c:pt idx="8">
                  <c:v>1.9768751955775801E-3</c:v>
                </c:pt>
                <c:pt idx="9">
                  <c:v>1.1036844751671786E-3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AC-4519-9CCD-35EB02AB9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Ratios!$B$12:$B$21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Ratios!$I$12:$I$21</c:f>
              <c:numCache>
                <c:formatCode>General</c:formatCode>
                <c:ptCount val="10"/>
                <c:pt idx="0">
                  <c:v>4.7708774843240598E-3</c:v>
                </c:pt>
                <c:pt idx="1">
                  <c:v>4.7640576118493545E-3</c:v>
                </c:pt>
                <c:pt idx="2">
                  <c:v>4.849157032619459E-3</c:v>
                </c:pt>
                <c:pt idx="3">
                  <c:v>4.7903157443879374E-3</c:v>
                </c:pt>
                <c:pt idx="4">
                  <c:v>4.7997334772423086E-3</c:v>
                </c:pt>
                <c:pt idx="5">
                  <c:v>5.0562751955990264E-3</c:v>
                </c:pt>
                <c:pt idx="6">
                  <c:v>4.5468392159688682E-3</c:v>
                </c:pt>
                <c:pt idx="7">
                  <c:v>5.3842180400321708E-3</c:v>
                </c:pt>
                <c:pt idx="8">
                  <c:v>4.2315442066874461E-3</c:v>
                </c:pt>
                <c:pt idx="9">
                  <c:v>7.2999313701372437E-3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B9-416C-ACBA-A5332072A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Ratios!$B$12:$B$21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Ratios!$J$12:$J$21</c:f>
              <c:numCache>
                <c:formatCode>General</c:formatCode>
                <c:ptCount val="10"/>
                <c:pt idx="0">
                  <c:v>2.3446604354437537E-3</c:v>
                </c:pt>
                <c:pt idx="1">
                  <c:v>2.3468760265098749E-3</c:v>
                </c:pt>
                <c:pt idx="2">
                  <c:v>2.3697520617613974E-3</c:v>
                </c:pt>
                <c:pt idx="3">
                  <c:v>2.3446111680184793E-3</c:v>
                </c:pt>
                <c:pt idx="4">
                  <c:v>2.3108828022623605E-3</c:v>
                </c:pt>
                <c:pt idx="5">
                  <c:v>2.4244342195596643E-3</c:v>
                </c:pt>
                <c:pt idx="6">
                  <c:v>2.3058709520867374E-3</c:v>
                </c:pt>
                <c:pt idx="7">
                  <c:v>1.7976499389548511E-3</c:v>
                </c:pt>
                <c:pt idx="8">
                  <c:v>1.9920923045748124E-3</c:v>
                </c:pt>
                <c:pt idx="9">
                  <c:v>1.0366919186513114E-3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B9-416C-ACBA-A5332072A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Ratios!$B$22:$B$31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Ratios!$I$22:$I$31</c:f>
              <c:numCache>
                <c:formatCode>General</c:formatCode>
                <c:ptCount val="10"/>
                <c:pt idx="0">
                  <c:v>4.7516649011153022E-3</c:v>
                </c:pt>
                <c:pt idx="1">
                  <c:v>4.8124928571327344E-3</c:v>
                </c:pt>
                <c:pt idx="2">
                  <c:v>4.8551171312356993E-3</c:v>
                </c:pt>
                <c:pt idx="3">
                  <c:v>4.8143546186638839E-3</c:v>
                </c:pt>
                <c:pt idx="4">
                  <c:v>4.8579360521706673E-3</c:v>
                </c:pt>
                <c:pt idx="5">
                  <c:v>5.025537069499107E-3</c:v>
                </c:pt>
                <c:pt idx="6">
                  <c:v>4.5793990282956207E-3</c:v>
                </c:pt>
                <c:pt idx="7">
                  <c:v>5.3969815994214174E-3</c:v>
                </c:pt>
                <c:pt idx="8">
                  <c:v>4.335921828392323E-3</c:v>
                </c:pt>
                <c:pt idx="9">
                  <c:v>7.2511089716221283E-3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7-4DC0-8435-17248CAE4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Ratios!$B$22:$B$31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Ratios!$J$22:$J$31</c:f>
              <c:numCache>
                <c:formatCode>General</c:formatCode>
                <c:ptCount val="10"/>
                <c:pt idx="0">
                  <c:v>2.3233543129285599E-3</c:v>
                </c:pt>
                <c:pt idx="1">
                  <c:v>2.3683429499716225E-3</c:v>
                </c:pt>
                <c:pt idx="2">
                  <c:v>2.3563346009454035E-3</c:v>
                </c:pt>
                <c:pt idx="3">
                  <c:v>2.3500298975937602E-3</c:v>
                </c:pt>
                <c:pt idx="4">
                  <c:v>2.3457831834329318E-3</c:v>
                </c:pt>
                <c:pt idx="5">
                  <c:v>2.3868376561839736E-3</c:v>
                </c:pt>
                <c:pt idx="6">
                  <c:v>2.3242378073194117E-3</c:v>
                </c:pt>
                <c:pt idx="7">
                  <c:v>1.7544900116419669E-3</c:v>
                </c:pt>
                <c:pt idx="8">
                  <c:v>2.0936915530476341E-3</c:v>
                </c:pt>
                <c:pt idx="9">
                  <c:v>1.1830770862588612E-3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37-4DC0-8435-17248CAE4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Ratios!$B$32:$B$41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Ratios!$I$32:$I$41</c:f>
              <c:numCache>
                <c:formatCode>General</c:formatCode>
                <c:ptCount val="10"/>
                <c:pt idx="0">
                  <c:v>4.7888141362900172E-3</c:v>
                </c:pt>
                <c:pt idx="1">
                  <c:v>4.8083089905893335E-3</c:v>
                </c:pt>
                <c:pt idx="2">
                  <c:v>4.7988445871649408E-3</c:v>
                </c:pt>
                <c:pt idx="3">
                  <c:v>4.8128824261903297E-3</c:v>
                </c:pt>
                <c:pt idx="4">
                  <c:v>4.7866124663974649E-3</c:v>
                </c:pt>
                <c:pt idx="5">
                  <c:v>4.9912505360895738E-3</c:v>
                </c:pt>
                <c:pt idx="6">
                  <c:v>4.558321530502194E-3</c:v>
                </c:pt>
                <c:pt idx="7">
                  <c:v>5.3189573696776652E-3</c:v>
                </c:pt>
                <c:pt idx="8">
                  <c:v>4.1871549197144697E-3</c:v>
                </c:pt>
                <c:pt idx="9">
                  <c:v>6.9744383562309964E-3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D-4FF5-839C-9D1F7826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Ratios!$B$32:$B$41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Ratios!$J$32:$J$41</c:f>
              <c:numCache>
                <c:formatCode>General</c:formatCode>
                <c:ptCount val="10"/>
                <c:pt idx="0">
                  <c:v>2.3499700049974346E-3</c:v>
                </c:pt>
                <c:pt idx="1">
                  <c:v>2.3655153874209646E-3</c:v>
                </c:pt>
                <c:pt idx="2">
                  <c:v>2.3320755105923079E-3</c:v>
                </c:pt>
                <c:pt idx="3">
                  <c:v>2.3487233308059352E-3</c:v>
                </c:pt>
                <c:pt idx="4">
                  <c:v>2.3037685821576093E-3</c:v>
                </c:pt>
                <c:pt idx="5">
                  <c:v>2.3799192574809865E-3</c:v>
                </c:pt>
                <c:pt idx="6">
                  <c:v>2.3157239620686053E-3</c:v>
                </c:pt>
                <c:pt idx="7">
                  <c:v>1.7401426094893016E-3</c:v>
                </c:pt>
                <c:pt idx="8">
                  <c:v>2.014216697930006E-3</c:v>
                </c:pt>
                <c:pt idx="9">
                  <c:v>1.1581646375878772E-3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D-4FF5-839C-9D1F7826A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Ratios!$B$42:$B$51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Ratios!$I$42:$I$51</c:f>
              <c:numCache>
                <c:formatCode>General</c:formatCode>
                <c:ptCount val="10"/>
                <c:pt idx="0">
                  <c:v>5.5237949019939789E-3</c:v>
                </c:pt>
                <c:pt idx="1">
                  <c:v>5.1827455740190813E-3</c:v>
                </c:pt>
                <c:pt idx="2">
                  <c:v>5.0499392057648147E-3</c:v>
                </c:pt>
                <c:pt idx="3">
                  <c:v>4.0563208041128184E-3</c:v>
                </c:pt>
                <c:pt idx="4">
                  <c:v>3.6063400791319553E-3</c:v>
                </c:pt>
                <c:pt idx="5">
                  <c:v>6.2078197858278046E-3</c:v>
                </c:pt>
                <c:pt idx="6">
                  <c:v>4.3949183928456105E-3</c:v>
                </c:pt>
                <c:pt idx="7">
                  <c:v>3.8102666941232984E-3</c:v>
                </c:pt>
                <c:pt idx="8">
                  <c:v>4.9287802101502217E-3</c:v>
                </c:pt>
                <c:pt idx="9">
                  <c:v>5.2334157220486595E-3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7A-4116-B15A-FCFDC8D1F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Ratios!$B$42:$B$51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Ratios!$J$42:$J$51</c:f>
              <c:numCache>
                <c:formatCode>General</c:formatCode>
                <c:ptCount val="10"/>
                <c:pt idx="0">
                  <c:v>1.6960788828987367E-3</c:v>
                </c:pt>
                <c:pt idx="1">
                  <c:v>2.2681157900415021E-3</c:v>
                </c:pt>
                <c:pt idx="2">
                  <c:v>2.1696545553679457E-3</c:v>
                </c:pt>
                <c:pt idx="3">
                  <c:v>2.1860112634671542E-3</c:v>
                </c:pt>
                <c:pt idx="4">
                  <c:v>1.7727952196875988E-3</c:v>
                </c:pt>
                <c:pt idx="5">
                  <c:v>2.5861266343311672E-3</c:v>
                </c:pt>
                <c:pt idx="6">
                  <c:v>2.6146116777403272E-3</c:v>
                </c:pt>
                <c:pt idx="7">
                  <c:v>1.3842336387339471E-3</c:v>
                </c:pt>
                <c:pt idx="8">
                  <c:v>2.5999663792318495E-3</c:v>
                </c:pt>
                <c:pt idx="9">
                  <c:v>2.4131526983134609E-3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7A-4116-B15A-FCFDC8D1F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Ratios!$B$52:$B$61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Ratios!$I$52:$I$61</c:f>
              <c:numCache>
                <c:formatCode>General</c:formatCode>
                <c:ptCount val="10"/>
                <c:pt idx="0">
                  <c:v>8.0316982797104235E-3</c:v>
                </c:pt>
                <c:pt idx="1">
                  <c:v>7.036486637841931E-3</c:v>
                </c:pt>
                <c:pt idx="2">
                  <c:v>6.9877090529725542E-3</c:v>
                </c:pt>
                <c:pt idx="3">
                  <c:v>6.9370983129332341E-3</c:v>
                </c:pt>
                <c:pt idx="4">
                  <c:v>7.1567925981264116E-3</c:v>
                </c:pt>
                <c:pt idx="5">
                  <c:v>7.0075354179310115E-3</c:v>
                </c:pt>
                <c:pt idx="6">
                  <c:v>7.0818392093052697E-3</c:v>
                </c:pt>
                <c:pt idx="7">
                  <c:v>7.4476487006476947E-3</c:v>
                </c:pt>
                <c:pt idx="8">
                  <c:v>6.3437516555274994E-3</c:v>
                </c:pt>
                <c:pt idx="9">
                  <c:v>8.4730711776036059E-3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8-48A0-AA7B-C94EBBA3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Ratios!$B$52:$B$61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Ratios!$J$52:$J$61</c:f>
              <c:numCache>
                <c:formatCode>General</c:formatCode>
                <c:ptCount val="10"/>
                <c:pt idx="0">
                  <c:v>3.4226031608438337E-3</c:v>
                </c:pt>
                <c:pt idx="1">
                  <c:v>3.7293317080527729E-3</c:v>
                </c:pt>
                <c:pt idx="2">
                  <c:v>2.6671638841637819E-3</c:v>
                </c:pt>
                <c:pt idx="3">
                  <c:v>2.6384776746334569E-3</c:v>
                </c:pt>
                <c:pt idx="4">
                  <c:v>3.0096397688065494E-3</c:v>
                </c:pt>
                <c:pt idx="5">
                  <c:v>2.827731865040174E-3</c:v>
                </c:pt>
                <c:pt idx="6">
                  <c:v>2.7896463483464088E-3</c:v>
                </c:pt>
                <c:pt idx="7">
                  <c:v>2.809291387267359E-3</c:v>
                </c:pt>
                <c:pt idx="8">
                  <c:v>2.9763270543087545E-3</c:v>
                </c:pt>
                <c:pt idx="9">
                  <c:v>6.4194009999937289E-3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68-48A0-AA7B-C94EBBA3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Ratios!$I$1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Ratios!$B$62:$B$71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Ratios!$I$62:$I$71</c:f>
              <c:numCache>
                <c:formatCode>General</c:formatCode>
                <c:ptCount val="10"/>
                <c:pt idx="0">
                  <c:v>5.257371278568449E-3</c:v>
                </c:pt>
                <c:pt idx="1">
                  <c:v>4.9292216514922847E-3</c:v>
                </c:pt>
                <c:pt idx="2">
                  <c:v>4.856068698673317E-3</c:v>
                </c:pt>
                <c:pt idx="3">
                  <c:v>4.8446487650458739E-3</c:v>
                </c:pt>
                <c:pt idx="4">
                  <c:v>4.8317667190022721E-3</c:v>
                </c:pt>
                <c:pt idx="5">
                  <c:v>5.0293256485543537E-3</c:v>
                </c:pt>
                <c:pt idx="6">
                  <c:v>4.5678680010894463E-3</c:v>
                </c:pt>
                <c:pt idx="7">
                  <c:v>5.3542558359531188E-3</c:v>
                </c:pt>
                <c:pt idx="8">
                  <c:v>4.1492892648670142E-3</c:v>
                </c:pt>
                <c:pt idx="9">
                  <c:v>7.2100899068354707E-3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6B-47FB-9B8B-8781404C7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9327503"/>
        <c:axId val="709319343"/>
      </c:barChart>
      <c:lineChart>
        <c:grouping val="standard"/>
        <c:varyColors val="0"/>
        <c:ser>
          <c:idx val="2"/>
          <c:order val="1"/>
          <c:tx>
            <c:strRef>
              <c:f>Ratios!$J$1</c:f>
              <c:strCache>
                <c:ptCount val="1"/>
                <c:pt idx="0">
                  <c:v>StDev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Ratios!$B$62:$B$71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Ratios!$J$62:$J$71</c:f>
              <c:numCache>
                <c:formatCode>General</c:formatCode>
                <c:ptCount val="10"/>
                <c:pt idx="0">
                  <c:v>2.5657018307592714E-3</c:v>
                </c:pt>
                <c:pt idx="1">
                  <c:v>2.4190440282499687E-3</c:v>
                </c:pt>
                <c:pt idx="2">
                  <c:v>2.3657402007797525E-3</c:v>
                </c:pt>
                <c:pt idx="3">
                  <c:v>2.3764666089171956E-3</c:v>
                </c:pt>
                <c:pt idx="4">
                  <c:v>2.342649941355118E-3</c:v>
                </c:pt>
                <c:pt idx="5">
                  <c:v>2.409231951009061E-3</c:v>
                </c:pt>
                <c:pt idx="6">
                  <c:v>2.3143514795936127E-3</c:v>
                </c:pt>
                <c:pt idx="7">
                  <c:v>1.7079809473608144E-3</c:v>
                </c:pt>
                <c:pt idx="8">
                  <c:v>1.9784026475317081E-3</c:v>
                </c:pt>
                <c:pt idx="9">
                  <c:v>1.0648336908187356E-3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6B-47FB-9B8B-8781404C7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9327503"/>
        <c:axId val="709319343"/>
      </c:lineChart>
      <c:catAx>
        <c:axId val="70932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Variance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19343"/>
        <c:crosses val="autoZero"/>
        <c:auto val="1"/>
        <c:lblAlgn val="ctr"/>
        <c:lblOffset val="100"/>
        <c:noMultiLvlLbl val="0"/>
      </c:catAx>
      <c:valAx>
        <c:axId val="7093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Overhead to Task Time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9327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time stdev'!$B$1</c:f>
              <c:strCache>
                <c:ptCount val="1"/>
                <c:pt idx="0">
                  <c:v>FCFS</c:v>
                </c:pt>
              </c:strCache>
            </c:strRef>
          </c:tx>
          <c:spPr>
            <a:solidFill>
              <a:schemeClr val="accent3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stdev'!$B$2:$B$11</c:f>
              <c:numCache>
                <c:formatCode>General</c:formatCode>
                <c:ptCount val="10"/>
                <c:pt idx="0">
                  <c:v>0.6729396745292654</c:v>
                </c:pt>
                <c:pt idx="1">
                  <c:v>0.41397933389106528</c:v>
                </c:pt>
                <c:pt idx="2">
                  <c:v>0.65516547952067716</c:v>
                </c:pt>
                <c:pt idx="3">
                  <c:v>0.48449171532878166</c:v>
                </c:pt>
                <c:pt idx="4">
                  <c:v>0.23043051495455796</c:v>
                </c:pt>
                <c:pt idx="5">
                  <c:v>0.60443389492427735</c:v>
                </c:pt>
                <c:pt idx="6">
                  <c:v>0.39406626628299551</c:v>
                </c:pt>
                <c:pt idx="7">
                  <c:v>0.2813476003491448</c:v>
                </c:pt>
                <c:pt idx="8">
                  <c:v>0.76266406249555196</c:v>
                </c:pt>
                <c:pt idx="9">
                  <c:v>0.60006860718866051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69-4F13-B5FC-5A5B61254D8D}"/>
            </c:ext>
          </c:extLst>
        </c:ser>
        <c:ser>
          <c:idx val="1"/>
          <c:order val="1"/>
          <c:tx>
            <c:strRef>
              <c:f>'task time stdev'!$C$1</c:f>
              <c:strCache>
                <c:ptCount val="1"/>
                <c:pt idx="0">
                  <c:v>LCFS</c:v>
                </c:pt>
              </c:strCache>
            </c:strRef>
          </c:tx>
          <c:spPr>
            <a:solidFill>
              <a:schemeClr val="accent3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stdev'!$C$2:$C$11</c:f>
              <c:numCache>
                <c:formatCode>General</c:formatCode>
                <c:ptCount val="10"/>
                <c:pt idx="0">
                  <c:v>0.63683584139783578</c:v>
                </c:pt>
                <c:pt idx="1">
                  <c:v>0.60654066915032978</c:v>
                </c:pt>
                <c:pt idx="2">
                  <c:v>0.52990903307391712</c:v>
                </c:pt>
                <c:pt idx="3">
                  <c:v>0.45628040233561912</c:v>
                </c:pt>
                <c:pt idx="4">
                  <c:v>0.36083040799430061</c:v>
                </c:pt>
                <c:pt idx="5">
                  <c:v>0.59281402836152997</c:v>
                </c:pt>
                <c:pt idx="6">
                  <c:v>0.6767684857714138</c:v>
                </c:pt>
                <c:pt idx="7">
                  <c:v>0.87662086382248805</c:v>
                </c:pt>
                <c:pt idx="8">
                  <c:v>1.3543524180294471</c:v>
                </c:pt>
                <c:pt idx="9">
                  <c:v>1.2674960113897404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69-4F13-B5FC-5A5B61254D8D}"/>
            </c:ext>
          </c:extLst>
        </c:ser>
        <c:ser>
          <c:idx val="2"/>
          <c:order val="2"/>
          <c:tx>
            <c:strRef>
              <c:f>'task time stdev'!$D$1</c:f>
              <c:strCache>
                <c:ptCount val="1"/>
                <c:pt idx="0">
                  <c:v>SJF</c:v>
                </c:pt>
              </c:strCache>
            </c:strRef>
          </c:tx>
          <c:spPr>
            <a:solidFill>
              <a:schemeClr val="accent3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stdev'!$D$2:$D$11</c:f>
              <c:numCache>
                <c:formatCode>General</c:formatCode>
                <c:ptCount val="10"/>
                <c:pt idx="0">
                  <c:v>0.51233734546249698</c:v>
                </c:pt>
                <c:pt idx="1">
                  <c:v>0.58535772538394437</c:v>
                </c:pt>
                <c:pt idx="2">
                  <c:v>0.26301505026645611</c:v>
                </c:pt>
                <c:pt idx="3">
                  <c:v>0.4781595503130221</c:v>
                </c:pt>
                <c:pt idx="4">
                  <c:v>0.74256417605184244</c:v>
                </c:pt>
                <c:pt idx="5">
                  <c:v>0.33864632484841029</c:v>
                </c:pt>
                <c:pt idx="6">
                  <c:v>0.63301327439126587</c:v>
                </c:pt>
                <c:pt idx="7">
                  <c:v>1.0470885694258261</c:v>
                </c:pt>
                <c:pt idx="8">
                  <c:v>1.43913200112661</c:v>
                </c:pt>
                <c:pt idx="9">
                  <c:v>0.87707064519722033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69-4F13-B5FC-5A5B61254D8D}"/>
            </c:ext>
          </c:extLst>
        </c:ser>
        <c:ser>
          <c:idx val="3"/>
          <c:order val="3"/>
          <c:tx>
            <c:strRef>
              <c:f>'task time stdev'!$E$1</c:f>
              <c:strCache>
                <c:ptCount val="1"/>
                <c:pt idx="0">
                  <c:v>LJF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stdev'!$E$2:$E$11</c:f>
              <c:numCache>
                <c:formatCode>General</c:formatCode>
                <c:ptCount val="10"/>
                <c:pt idx="0">
                  <c:v>0.65915796454432907</c:v>
                </c:pt>
                <c:pt idx="1">
                  <c:v>0.45971866396742994</c:v>
                </c:pt>
                <c:pt idx="2">
                  <c:v>0.27307304680046413</c:v>
                </c:pt>
                <c:pt idx="3">
                  <c:v>0.48467549281280586</c:v>
                </c:pt>
                <c:pt idx="4">
                  <c:v>0.43265064813695964</c:v>
                </c:pt>
                <c:pt idx="5">
                  <c:v>0.35269250062908858</c:v>
                </c:pt>
                <c:pt idx="6">
                  <c:v>0.40850040799653631</c:v>
                </c:pt>
                <c:pt idx="7">
                  <c:v>0.29813890312328351</c:v>
                </c:pt>
                <c:pt idx="8">
                  <c:v>0.30228794220081712</c:v>
                </c:pt>
                <c:pt idx="9">
                  <c:v>0.16893983149827624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69-4F13-B5FC-5A5B61254D8D}"/>
            </c:ext>
          </c:extLst>
        </c:ser>
        <c:ser>
          <c:idx val="4"/>
          <c:order val="4"/>
          <c:tx>
            <c:strRef>
              <c:f>'task time stdev'!$F$1</c:f>
              <c:strCache>
                <c:ptCount val="1"/>
                <c:pt idx="0">
                  <c:v>RR</c:v>
                </c:pt>
              </c:strCache>
            </c:strRef>
          </c:tx>
          <c:spPr>
            <a:solidFill>
              <a:schemeClr val="accent3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stdev'!$F$2:$F$11</c:f>
              <c:numCache>
                <c:formatCode>General</c:formatCode>
                <c:ptCount val="10"/>
                <c:pt idx="0">
                  <c:v>3.9686600068537019</c:v>
                </c:pt>
                <c:pt idx="1">
                  <c:v>1.7970377167871447</c:v>
                </c:pt>
                <c:pt idx="2">
                  <c:v>2.6561578559181234</c:v>
                </c:pt>
                <c:pt idx="3">
                  <c:v>3.4709928934912373</c:v>
                </c:pt>
                <c:pt idx="4">
                  <c:v>4.4143094747524145</c:v>
                </c:pt>
                <c:pt idx="5">
                  <c:v>3.6824543181899161</c:v>
                </c:pt>
                <c:pt idx="6">
                  <c:v>4.9007463518892225</c:v>
                </c:pt>
                <c:pt idx="7">
                  <c:v>6.258841603861069</c:v>
                </c:pt>
                <c:pt idx="8">
                  <c:v>11.286726535576596</c:v>
                </c:pt>
                <c:pt idx="9">
                  <c:v>10.272253485319894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69-4F13-B5FC-5A5B61254D8D}"/>
            </c:ext>
          </c:extLst>
        </c:ser>
        <c:ser>
          <c:idx val="5"/>
          <c:order val="5"/>
          <c:tx>
            <c:strRef>
              <c:f>'task time stdev'!$G$1</c:f>
              <c:strCache>
                <c:ptCount val="1"/>
                <c:pt idx="0">
                  <c:v>LBW</c:v>
                </c:pt>
              </c:strCache>
            </c:strRef>
          </c:tx>
          <c:spPr>
            <a:solidFill>
              <a:schemeClr val="accent3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stdev'!$G$2:$G$11</c:f>
              <c:numCache>
                <c:formatCode>General</c:formatCode>
                <c:ptCount val="10"/>
                <c:pt idx="0">
                  <c:v>4.3712386751989998</c:v>
                </c:pt>
                <c:pt idx="1">
                  <c:v>3.5712851911695189</c:v>
                </c:pt>
                <c:pt idx="2">
                  <c:v>2.2587575985237742</c:v>
                </c:pt>
                <c:pt idx="3">
                  <c:v>3.6227182703967871</c:v>
                </c:pt>
                <c:pt idx="4">
                  <c:v>0.96672650676852701</c:v>
                </c:pt>
                <c:pt idx="5">
                  <c:v>2.7318883375586367</c:v>
                </c:pt>
                <c:pt idx="6">
                  <c:v>2.3333805709504136</c:v>
                </c:pt>
                <c:pt idx="7">
                  <c:v>3.3099883391872504</c:v>
                </c:pt>
                <c:pt idx="8">
                  <c:v>5.0383586420138444</c:v>
                </c:pt>
                <c:pt idx="9">
                  <c:v>3.6821841985732102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69-4F13-B5FC-5A5B61254D8D}"/>
            </c:ext>
          </c:extLst>
        </c:ser>
        <c:ser>
          <c:idx val="6"/>
          <c:order val="6"/>
          <c:tx>
            <c:strRef>
              <c:f>'task time stdev'!$H$1</c:f>
              <c:strCache>
                <c:ptCount val="1"/>
                <c:pt idx="0">
                  <c:v>WS</c:v>
                </c:pt>
              </c:strCache>
            </c:strRef>
          </c:tx>
          <c:spPr>
            <a:solidFill>
              <a:schemeClr val="accent3">
                <a:tint val="48000"/>
              </a:schemeClr>
            </a:solidFill>
            <a:ln>
              <a:noFill/>
            </a:ln>
            <a:effectLst/>
          </c:spPr>
          <c:invertIfNegative val="0"/>
          <c:cat>
            <c:numRef>
              <c:f>'task time stdev'!$A$2:$A$11</c:f>
              <c:numCache>
                <c:formatCode>General</c:formatCode>
                <c:ptCount val="10"/>
                <c:pt idx="0">
                  <c:v>0</c:v>
                </c:pt>
                <c:pt idx="1">
                  <c:v>0.01</c:v>
                </c:pt>
                <c:pt idx="2">
                  <c:v>1.7999999999999999E-2</c:v>
                </c:pt>
                <c:pt idx="3">
                  <c:v>3.1E-2</c:v>
                </c:pt>
                <c:pt idx="4">
                  <c:v>5.6000000000000001E-2</c:v>
                </c:pt>
                <c:pt idx="5">
                  <c:v>0.1</c:v>
                </c:pt>
                <c:pt idx="6">
                  <c:v>0.18</c:v>
                </c:pt>
                <c:pt idx="7">
                  <c:v>0.31</c:v>
                </c:pt>
                <c:pt idx="8">
                  <c:v>0.56000000000000005</c:v>
                </c:pt>
                <c:pt idx="9">
                  <c:v>1</c:v>
                </c:pt>
              </c:numCache>
            </c:numRef>
          </c:cat>
          <c:val>
            <c:numRef>
              <c:f>'task time stdev'!$H$2:$H$11</c:f>
              <c:numCache>
                <c:formatCode>General</c:formatCode>
                <c:ptCount val="10"/>
                <c:pt idx="0">
                  <c:v>0.4088924063858374</c:v>
                </c:pt>
                <c:pt idx="1">
                  <c:v>0.48835767857403545</c:v>
                </c:pt>
                <c:pt idx="2">
                  <c:v>0.41847407990884899</c:v>
                </c:pt>
                <c:pt idx="3">
                  <c:v>0.71463940013284066</c:v>
                </c:pt>
                <c:pt idx="4">
                  <c:v>0.76275946405141704</c:v>
                </c:pt>
                <c:pt idx="5">
                  <c:v>0.49649359400589421</c:v>
                </c:pt>
                <c:pt idx="6">
                  <c:v>0.41379480287805392</c:v>
                </c:pt>
                <c:pt idx="7">
                  <c:v>0.27783808234293522</c:v>
                </c:pt>
                <c:pt idx="8">
                  <c:v>1.2040026301189437</c:v>
                </c:pt>
                <c:pt idx="9">
                  <c:v>0.59550613393613072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69-4F13-B5FC-5A5B61254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3295487"/>
        <c:axId val="663293567"/>
      </c:barChart>
      <c:catAx>
        <c:axId val="663295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93567"/>
        <c:crosses val="autoZero"/>
        <c:auto val="1"/>
        <c:lblAlgn val="ctr"/>
        <c:lblOffset val="100"/>
        <c:noMultiLvlLbl val="0"/>
      </c:catAx>
      <c:valAx>
        <c:axId val="66329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329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152400</xdr:colOff>
      <xdr:row>0</xdr:row>
      <xdr:rowOff>0</xdr:rowOff>
    </xdr:from>
    <xdr:to>
      <xdr:col>19</xdr:col>
      <xdr:colOff>514350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12EA5D-1B17-E59C-4605-FC39433650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38100</xdr:colOff>
      <xdr:row>8</xdr:row>
      <xdr:rowOff>133350</xdr:rowOff>
    </xdr:from>
    <xdr:to>
      <xdr:col>27</xdr:col>
      <xdr:colOff>400050</xdr:colOff>
      <xdr:row>23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80BDC3-0854-436E-9C37-A0B224EDA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171450</xdr:colOff>
      <xdr:row>18</xdr:row>
      <xdr:rowOff>104775</xdr:rowOff>
    </xdr:from>
    <xdr:to>
      <xdr:col>19</xdr:col>
      <xdr:colOff>533400</xdr:colOff>
      <xdr:row>32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42B5C2-03D1-415C-B420-C4BE7D2647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95250</xdr:colOff>
      <xdr:row>28</xdr:row>
      <xdr:rowOff>161925</xdr:rowOff>
    </xdr:from>
    <xdr:to>
      <xdr:col>27</xdr:col>
      <xdr:colOff>457200</xdr:colOff>
      <xdr:row>43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239837-962E-468A-9259-BF49A9C6E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142875</xdr:colOff>
      <xdr:row>39</xdr:row>
      <xdr:rowOff>19050</xdr:rowOff>
    </xdr:from>
    <xdr:to>
      <xdr:col>19</xdr:col>
      <xdr:colOff>504825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C37132F-C225-4A60-BD25-8D1960AA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209550</xdr:colOff>
      <xdr:row>49</xdr:row>
      <xdr:rowOff>47625</xdr:rowOff>
    </xdr:from>
    <xdr:to>
      <xdr:col>27</xdr:col>
      <xdr:colOff>571500</xdr:colOff>
      <xdr:row>63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0BB6D8A-7FED-4DB4-AB05-ADF0E0636F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161925</xdr:colOff>
      <xdr:row>58</xdr:row>
      <xdr:rowOff>28575</xdr:rowOff>
    </xdr:from>
    <xdr:to>
      <xdr:col>19</xdr:col>
      <xdr:colOff>523875</xdr:colOff>
      <xdr:row>72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747B0D-BD70-4284-AD5C-0A655F095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12</xdr:row>
      <xdr:rowOff>138110</xdr:rowOff>
    </xdr:from>
    <xdr:to>
      <xdr:col>8</xdr:col>
      <xdr:colOff>561975</xdr:colOff>
      <xdr:row>31</xdr:row>
      <xdr:rowOff>176210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9F11C1-1FAB-0FEC-FB76-704B74934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A5CF6C4-589D-4ECC-9BDC-72F46A10BAE4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6443A40-C0FF-4837-AFC3-E7EE9326799D}" autoFormatId="16" applyNumberFormats="0" applyBorderFormats="0" applyFontFormats="0" applyPatternFormats="0" applyAlignmentFormats="0" applyWidthHeightFormats="0">
  <queryTableRefresh nextId="11" unboundColumnsRight="2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D1DFB4-CE4A-4394-873E-A030F268DDCA}" name="wTask" displayName="wTask" ref="A1:J71" tableType="queryTable" totalsRowShown="0">
  <autoFilter ref="A1:J71" xr:uid="{2DD1DFB4-CE4A-4394-873E-A030F268DDCA}"/>
  <sortState xmlns:xlrd2="http://schemas.microsoft.com/office/spreadsheetml/2017/richdata2" ref="A2:J71">
    <sortCondition ref="A1:A71"/>
  </sortState>
  <tableColumns count="10">
    <tableColumn id="1" xr3:uid="{7358B912-890C-44ED-AB37-20FC38FA9EF4}" uniqueName="1" name="Heuristic" queryTableFieldId="1" dataDxfId="23"/>
    <tableColumn id="2" xr3:uid="{F70C4096-786D-4473-AB6A-B62F6885AAF1}" uniqueName="2" name="Variance" queryTableFieldId="2"/>
    <tableColumn id="3" xr3:uid="{DE0C3B8E-4882-4632-9B25-33BE505EC03A}" uniqueName="3" name="W1" queryTableFieldId="3" dataDxfId="21"/>
    <tableColumn id="4" xr3:uid="{5D90EAE0-8C49-43A5-A693-1C5CD95265AC}" uniqueName="4" name="W2" queryTableFieldId="4"/>
    <tableColumn id="5" xr3:uid="{A26414FD-B340-4034-A4D7-D5413E815685}" uniqueName="5" name="W3" queryTableFieldId="5"/>
    <tableColumn id="6" xr3:uid="{904C9A3E-F0A9-4FAE-B1C6-AC172C7EBA1A}" uniqueName="6" name="W4" queryTableFieldId="6"/>
    <tableColumn id="7" xr3:uid="{D33A4A07-0EFF-4383-87CF-FF97E29A2753}" uniqueName="7" name="W5" queryTableFieldId="7"/>
    <tableColumn id="8" xr3:uid="{4CFEC18F-0E5D-44F8-ADEA-BA485244F7E9}" uniqueName="8" name="W6" queryTableFieldId="8"/>
    <tableColumn id="9" xr3:uid="{C47577F8-E995-466C-BA74-D52220F1CCD8}" uniqueName="9" name="Average" queryTableFieldId="9" dataDxfId="20">
      <calculatedColumnFormula>AVERAGE(wTask[[#This Row],[W1]:[W6]])</calculatedColumnFormula>
    </tableColumn>
    <tableColumn id="10" xr3:uid="{92DA55B1-C330-4EF2-BEF4-770A59DD8794}" uniqueName="10" name="StDev" queryTableFieldId="10" dataDxfId="22">
      <calculatedColumnFormula>_xlfn.STDEV.P(wTask[[#This Row],[W1]:[W6]])</calculatedColumnFormula>
    </tableColumn>
  </tableColumns>
  <tableStyleInfo name="TableStyleLight1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A5511A-E202-4FA3-866F-A9FCFF364B7E}" name="wOver" displayName="wOver" ref="A1:J71" tableType="queryTable" totalsRowShown="0">
  <autoFilter ref="A1:J71" xr:uid="{B0A5511A-E202-4FA3-866F-A9FCFF364B7E}"/>
  <sortState xmlns:xlrd2="http://schemas.microsoft.com/office/spreadsheetml/2017/richdata2" ref="A2:J71">
    <sortCondition ref="A1:A71"/>
  </sortState>
  <tableColumns count="10">
    <tableColumn id="1" xr3:uid="{02771580-7EA0-4FE5-A3C9-05F9BE649DCE}" uniqueName="1" name="Heuristic" queryTableFieldId="1" dataDxfId="27"/>
    <tableColumn id="2" xr3:uid="{4642747E-2D88-40E8-9207-0161ADCC9E95}" uniqueName="2" name="Variance" queryTableFieldId="2"/>
    <tableColumn id="3" xr3:uid="{23D78E8D-C775-4A45-A422-6C003A303F52}" uniqueName="3" name="W1" queryTableFieldId="3" dataDxfId="25"/>
    <tableColumn id="4" xr3:uid="{8182BDBA-CE08-4D03-B736-DA77AE3E9FB9}" uniqueName="4" name="W2" queryTableFieldId="4"/>
    <tableColumn id="5" xr3:uid="{66BFC83C-483B-489A-9350-32916A7F18F2}" uniqueName="5" name="W3" queryTableFieldId="5"/>
    <tableColumn id="6" xr3:uid="{44A5F2AC-8491-4EA9-998A-59DF233D5583}" uniqueName="6" name="W4" queryTableFieldId="6"/>
    <tableColumn id="7" xr3:uid="{4C7F0BB9-7223-4328-B78C-DDAAB17E9B35}" uniqueName="7" name="W5" queryTableFieldId="7"/>
    <tableColumn id="8" xr3:uid="{78B26738-E2FB-4E3B-A7EC-6FDCD4CCB5CC}" uniqueName="8" name="W6" queryTableFieldId="8"/>
    <tableColumn id="9" xr3:uid="{396002D6-76FF-44BB-AEA1-E7AE4A471534}" uniqueName="9" name="Mean" queryTableFieldId="9" dataDxfId="24">
      <calculatedColumnFormula>AVERAGE(wOver[[#This Row],[W1]:[W6]])</calculatedColumnFormula>
    </tableColumn>
    <tableColumn id="10" xr3:uid="{C9F0561A-2A8B-47DA-84F0-F07C075F2902}" uniqueName="10" name="StDev" queryTableFieldId="10" dataDxfId="26">
      <calculatedColumnFormula>_xlfn.STDEV.P(wOver[[#This Row],[W1]:[W6]])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DEFD0F-17CF-49D1-8F4C-C03909C3F069}" name="Table3" displayName="Table3" ref="A1:L71" totalsRowShown="0" dataDxfId="19">
  <autoFilter ref="A1:L71" xr:uid="{45DEFD0F-17CF-49D1-8F4C-C03909C3F069}"/>
  <sortState xmlns:xlrd2="http://schemas.microsoft.com/office/spreadsheetml/2017/richdata2" ref="A2:J71">
    <sortCondition ref="A1:A71"/>
  </sortState>
  <tableColumns count="12">
    <tableColumn id="1" xr3:uid="{0957F79D-3090-44E9-AF10-F909130060F7}" name="Heuristic" dataDxfId="18">
      <calculatedColumnFormula>wTask[[#This Row],[Heuristic]]</calculatedColumnFormula>
    </tableColumn>
    <tableColumn id="2" xr3:uid="{C2129DB1-99C7-4F80-B12A-12B4EDA0D924}" name="Variance" dataDxfId="17">
      <calculatedColumnFormula>wTask[[#This Row],[Variance]]</calculatedColumnFormula>
    </tableColumn>
    <tableColumn id="3" xr3:uid="{903068F3-0C6E-4FFB-A1E8-6C67A53200FD}" name="W1" dataDxfId="16">
      <calculatedColumnFormula>wOver[[#This Row],[W1]]/wTask[[#This Row],[W1]]</calculatedColumnFormula>
    </tableColumn>
    <tableColumn id="4" xr3:uid="{B2E581F6-6EF0-45EB-BE73-4AC028B18D32}" name="W2" dataDxfId="15">
      <calculatedColumnFormula>wOver[[#This Row],[W2]]/wTask[[#This Row],[W2]]</calculatedColumnFormula>
    </tableColumn>
    <tableColumn id="5" xr3:uid="{49A2B35D-6E6E-41A9-B93C-774EE5454555}" name="W3" dataDxfId="14">
      <calculatedColumnFormula>wOver[[#This Row],[W3]]/wTask[[#This Row],[W3]]</calculatedColumnFormula>
    </tableColumn>
    <tableColumn id="6" xr3:uid="{1AC9A973-349D-403A-9660-BF5344811E61}" name="W4" dataDxfId="13">
      <calculatedColumnFormula>wOver[[#This Row],[W4]]/wTask[[#This Row],[W4]]</calculatedColumnFormula>
    </tableColumn>
    <tableColumn id="7" xr3:uid="{284D2C6F-26AB-4E60-8BF3-14F59D6BC7E8}" name="W5" dataDxfId="12">
      <calculatedColumnFormula>wOver[[#This Row],[W5]]/wTask[[#This Row],[W5]]</calculatedColumnFormula>
    </tableColumn>
    <tableColumn id="8" xr3:uid="{3B474BC6-0F58-47ED-8A7B-47B01C068F02}" name="W6" dataDxfId="11">
      <calculatedColumnFormula>wOver[[#This Row],[W6]]/wTask[[#This Row],[W6]]</calculatedColumnFormula>
    </tableColumn>
    <tableColumn id="9" xr3:uid="{9A98C901-F930-4AA5-A41E-83DDB5B27C02}" name="Average" dataDxfId="10">
      <calculatedColumnFormula>AVERAGE(Table3[[#This Row],[W1]:[W6]])</calculatedColumnFormula>
    </tableColumn>
    <tableColumn id="10" xr3:uid="{EEE3AD9A-DDB8-4538-ADB3-BD7055EDD039}" name="StDev" dataDxfId="9">
      <calculatedColumnFormula>_xlfn.STDEV.P(Table3[[#This Row],[W1]:[W6]])</calculatedColumnFormula>
    </tableColumn>
    <tableColumn id="11" xr3:uid="{9DC31B20-A6C5-4CD5-BCC4-DDA620B8BC82}" name="AvT" dataDxfId="8">
      <calculatedColumnFormula>wTask[[#This Row],[Average]]</calculatedColumnFormula>
    </tableColumn>
    <tableColumn id="12" xr3:uid="{647694E1-BFB7-4DCE-A3D7-280552CD67C7}" name="AvO" dataDxfId="7">
      <calculatedColumnFormula>wOver[[#This Row],[Mean]]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B3A658-3790-4E18-944C-16BEC4F8AAF2}" name="Table4" displayName="Table4" ref="A1:H11" totalsRowShown="0">
  <autoFilter ref="A1:H11" xr:uid="{51B3A658-3790-4E18-944C-16BEC4F8AAF2}"/>
  <tableColumns count="8">
    <tableColumn id="1" xr3:uid="{077013EE-F03C-4423-8F0D-8FBC89778B8B}" name="Heuristic"/>
    <tableColumn id="2" xr3:uid="{5A198941-BE55-4653-AD62-82FD876DED3E}" name="FCFS" dataDxfId="6">
      <calculatedColumnFormula array="1">IFERROR(INDEX(wTask[StDev], MATCH(1, (wTask[Heuristic]=Table4[[#Headers],[FCFS]]) * (wTask[Variance] = Table4[[#This Row],[Heuristic]]), 0)), "")</calculatedColumnFormula>
    </tableColumn>
    <tableColumn id="3" xr3:uid="{83C1124E-23AA-4FEE-9B79-7E3177344999}" name="LCFS" dataDxfId="5">
      <calculatedColumnFormula array="1">IFERROR(INDEX(wTask[StDev], MATCH(1, (wTask[Heuristic]=Table4[[#Headers],[LCFS]]) * (wTask[Variance] = Table4[[#This Row],[Heuristic]]), 0)), "")</calculatedColumnFormula>
    </tableColumn>
    <tableColumn id="4" xr3:uid="{88DF4CB7-FB46-4E4B-8FEC-3F6BCBEB7615}" name="SJF" dataDxfId="4">
      <calculatedColumnFormula array="1">IFERROR(INDEX(wTask[StDev], MATCH(1, (wTask[Heuristic]=Table4[[#Headers],[SJF]]) * (wTask[Variance] = Table4[[#This Row],[Heuristic]]), 0)), "")</calculatedColumnFormula>
    </tableColumn>
    <tableColumn id="12" xr3:uid="{82819D91-AA11-44ED-8646-9B42F8CB7DF1}" name="LJF" dataDxfId="3">
      <calculatedColumnFormula array="1">IFERROR(INDEX(wTask[StDev], MATCH(1, (wTask[Heuristic]=Table4[[#Headers],[LJF]]) * (wTask[Variance] = Table4[[#This Row],[Heuristic]]), 0)), "")</calculatedColumnFormula>
    </tableColumn>
    <tableColumn id="5" xr3:uid="{1DD603BB-3C52-4097-BF04-F84B2432CA87}" name="RR" dataDxfId="2">
      <calculatedColumnFormula array="1">IFERROR(INDEX(wTask[StDev], MATCH(1, (wTask[Heuristic]=Table4[[#Headers],[RR]]) * (wTask[Variance] = Table4[[#This Row],[Heuristic]]), 0)), "")</calculatedColumnFormula>
    </tableColumn>
    <tableColumn id="6" xr3:uid="{795907A7-04BD-4149-88B8-BE256D4FA25E}" name="LBW" dataDxfId="1">
      <calculatedColumnFormula array="1">IFERROR(INDEX(wTask[StDev], MATCH(1, (wTask[Heuristic]=Table4[[#Headers],[LBW]]) * (wTask[Variance] = Table4[[#This Row],[Heuristic]]), 0)), "")</calculatedColumnFormula>
    </tableColumn>
    <tableColumn id="7" xr3:uid="{1FFE8CF9-C1CB-47D0-A935-74445F1A02D6}" name="WS" dataDxfId="0">
      <calculatedColumnFormula array="1">IFERROR(INDEX(wTask[StDev], MATCH(1, (wTask[Heuristic]=Table4[[#Headers],[WS]]) * (wTask[Variance] = Table4[[#This Row],[Heuristic]]), 0)), "")</calculatedColumnFormula>
    </tableColumn>
  </tableColumns>
  <tableStyleInfo name="TableStyleLight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747474"/>
      </a:accent1>
      <a:accent2>
        <a:srgbClr val="AEAEAE"/>
      </a:accent2>
      <a:accent3>
        <a:srgbClr val="D76DCC"/>
      </a:accent3>
      <a:accent4>
        <a:srgbClr val="4EA72E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062E-6877-41C7-B9CF-730BB6A1BC4E}">
  <dimension ref="A1:J71"/>
  <sheetViews>
    <sheetView tabSelected="1" topLeftCell="A31" workbookViewId="0">
      <selection activeCell="J58" sqref="J58"/>
    </sheetView>
  </sheetViews>
  <sheetFormatPr defaultRowHeight="15" x14ac:dyDescent="0.25"/>
  <cols>
    <col min="1" max="8" width="11.42578125" bestFit="1" customWidth="1"/>
  </cols>
  <sheetData>
    <row r="1" spans="1:10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17</v>
      </c>
      <c r="J1" t="s">
        <v>16</v>
      </c>
    </row>
    <row r="2" spans="1:10" x14ac:dyDescent="0.25">
      <c r="A2" s="1" t="s">
        <v>0</v>
      </c>
      <c r="B2">
        <v>0</v>
      </c>
      <c r="C2" s="2">
        <v>122.818</v>
      </c>
      <c r="D2">
        <v>122.958</v>
      </c>
      <c r="E2">
        <v>121.777</v>
      </c>
      <c r="F2">
        <v>121.84699999999999</v>
      </c>
      <c r="G2">
        <v>121.494</v>
      </c>
      <c r="H2">
        <v>121.105</v>
      </c>
      <c r="I2" s="2">
        <f>AVERAGE(wTask[[#This Row],[W1]:[W6]])</f>
        <v>121.99983333333334</v>
      </c>
      <c r="J2">
        <f>_xlfn.STDEV.P(wTask[[#This Row],[W1]:[W6]])</f>
        <v>0.6729396745292654</v>
      </c>
    </row>
    <row r="3" spans="1:10" x14ac:dyDescent="0.25">
      <c r="A3" s="1" t="s">
        <v>0</v>
      </c>
      <c r="B3">
        <v>0.01</v>
      </c>
      <c r="C3" s="2">
        <v>128.18700000000001</v>
      </c>
      <c r="D3">
        <v>129.048</v>
      </c>
      <c r="E3">
        <v>128.07599999999999</v>
      </c>
      <c r="F3">
        <v>128.76900000000001</v>
      </c>
      <c r="G3">
        <v>127.833</v>
      </c>
      <c r="H3">
        <v>128.33500000000001</v>
      </c>
      <c r="I3" s="2">
        <f>AVERAGE(wTask[[#This Row],[W1]:[W6]])</f>
        <v>128.37466666666668</v>
      </c>
      <c r="J3">
        <f>_xlfn.STDEV.P(wTask[[#This Row],[W1]:[W6]])</f>
        <v>0.41397933389106528</v>
      </c>
    </row>
    <row r="4" spans="1:10" x14ac:dyDescent="0.25">
      <c r="A4" s="1" t="s">
        <v>0</v>
      </c>
      <c r="B4">
        <v>1.7999999999999999E-2</v>
      </c>
      <c r="C4" s="2">
        <v>130.476</v>
      </c>
      <c r="D4">
        <v>129.92699999999999</v>
      </c>
      <c r="E4">
        <v>129.44200000000001</v>
      </c>
      <c r="F4">
        <v>128.64599999999999</v>
      </c>
      <c r="G4">
        <v>128.73699999999999</v>
      </c>
      <c r="H4">
        <v>129.035</v>
      </c>
      <c r="I4" s="2">
        <f>AVERAGE(wTask[[#This Row],[W1]:[W6]])</f>
        <v>129.37716666666665</v>
      </c>
      <c r="J4">
        <f>_xlfn.STDEV.P(wTask[[#This Row],[W1]:[W6]])</f>
        <v>0.65516547952067716</v>
      </c>
    </row>
    <row r="5" spans="1:10" x14ac:dyDescent="0.25">
      <c r="A5" s="1" t="s">
        <v>0</v>
      </c>
      <c r="B5">
        <v>3.1E-2</v>
      </c>
      <c r="C5" s="2">
        <v>129.09399999999999</v>
      </c>
      <c r="D5">
        <v>129.24100000000001</v>
      </c>
      <c r="E5">
        <v>129.64500000000001</v>
      </c>
      <c r="F5">
        <v>128.40600000000001</v>
      </c>
      <c r="G5">
        <v>128.678</v>
      </c>
      <c r="H5">
        <v>128.262</v>
      </c>
      <c r="I5" s="2">
        <f>AVERAGE(wTask[[#This Row],[W1]:[W6]])</f>
        <v>128.88766666666666</v>
      </c>
      <c r="J5">
        <f>_xlfn.STDEV.P(wTask[[#This Row],[W1]:[W6]])</f>
        <v>0.48449171532878166</v>
      </c>
    </row>
    <row r="6" spans="1:10" x14ac:dyDescent="0.25">
      <c r="A6" s="1" t="s">
        <v>0</v>
      </c>
      <c r="B6">
        <v>5.6000000000000001E-2</v>
      </c>
      <c r="C6" s="2">
        <v>128.53800000000001</v>
      </c>
      <c r="D6">
        <v>127.76</v>
      </c>
      <c r="E6">
        <v>128.03800000000001</v>
      </c>
      <c r="F6">
        <v>128.202</v>
      </c>
      <c r="G6">
        <v>128.089</v>
      </c>
      <c r="H6">
        <v>128.12700000000001</v>
      </c>
      <c r="I6" s="2">
        <f>AVERAGE(wTask[[#This Row],[W1]:[W6]])</f>
        <v>128.12566666666666</v>
      </c>
      <c r="J6">
        <f>_xlfn.STDEV.P(wTask[[#This Row],[W1]:[W6]])</f>
        <v>0.23043051495455796</v>
      </c>
    </row>
    <row r="7" spans="1:10" x14ac:dyDescent="0.25">
      <c r="A7" s="1" t="s">
        <v>0</v>
      </c>
      <c r="B7">
        <v>0.1</v>
      </c>
      <c r="C7" s="2">
        <v>128.04599999999999</v>
      </c>
      <c r="D7">
        <v>128.286</v>
      </c>
      <c r="E7">
        <v>127.056</v>
      </c>
      <c r="F7">
        <v>126.812</v>
      </c>
      <c r="G7">
        <v>128.42699999999999</v>
      </c>
      <c r="H7">
        <v>127.705</v>
      </c>
      <c r="I7" s="2">
        <f>AVERAGE(wTask[[#This Row],[W1]:[W6]])</f>
        <v>127.72199999999999</v>
      </c>
      <c r="J7">
        <f>_xlfn.STDEV.P(wTask[[#This Row],[W1]:[W6]])</f>
        <v>0.60443389492427735</v>
      </c>
    </row>
    <row r="8" spans="1:10" x14ac:dyDescent="0.25">
      <c r="A8" s="1" t="s">
        <v>0</v>
      </c>
      <c r="B8">
        <v>0.18</v>
      </c>
      <c r="C8" s="2">
        <v>130.53200000000001</v>
      </c>
      <c r="D8">
        <v>129.87200000000001</v>
      </c>
      <c r="E8">
        <v>130.495</v>
      </c>
      <c r="F8">
        <v>129.93100000000001</v>
      </c>
      <c r="G8">
        <v>130.29300000000001</v>
      </c>
      <c r="H8">
        <v>129.41300000000001</v>
      </c>
      <c r="I8" s="2">
        <f>AVERAGE(wTask[[#This Row],[W1]:[W6]])</f>
        <v>130.08933333333334</v>
      </c>
      <c r="J8">
        <f>_xlfn.STDEV.P(wTask[[#This Row],[W1]:[W6]])</f>
        <v>0.39406626628299551</v>
      </c>
    </row>
    <row r="9" spans="1:10" x14ac:dyDescent="0.25">
      <c r="A9" s="1" t="s">
        <v>0</v>
      </c>
      <c r="B9">
        <v>0.31</v>
      </c>
      <c r="C9" s="2">
        <v>132.68299999999999</v>
      </c>
      <c r="D9">
        <v>133.136</v>
      </c>
      <c r="E9">
        <v>132.547</v>
      </c>
      <c r="F9">
        <v>132.71100000000001</v>
      </c>
      <c r="G9">
        <v>132.566</v>
      </c>
      <c r="H9">
        <v>132.184</v>
      </c>
      <c r="I9" s="2">
        <f>AVERAGE(wTask[[#This Row],[W1]:[W6]])</f>
        <v>132.63783333333333</v>
      </c>
      <c r="J9">
        <f>_xlfn.STDEV.P(wTask[[#This Row],[W1]:[W6]])</f>
        <v>0.2813476003491448</v>
      </c>
    </row>
    <row r="10" spans="1:10" x14ac:dyDescent="0.25">
      <c r="A10" s="1" t="s">
        <v>0</v>
      </c>
      <c r="B10">
        <v>0.56000000000000005</v>
      </c>
      <c r="C10" s="2">
        <v>144.68100000000001</v>
      </c>
      <c r="D10">
        <v>146.72</v>
      </c>
      <c r="E10">
        <v>144.685</v>
      </c>
      <c r="F10">
        <v>144.892</v>
      </c>
      <c r="G10">
        <v>145.82300000000001</v>
      </c>
      <c r="H10">
        <v>144.77000000000001</v>
      </c>
      <c r="I10" s="2">
        <f>AVERAGE(wTask[[#This Row],[W1]:[W6]])</f>
        <v>145.26183333333333</v>
      </c>
      <c r="J10">
        <f>_xlfn.STDEV.P(wTask[[#This Row],[W1]:[W6]])</f>
        <v>0.76266406249555196</v>
      </c>
    </row>
    <row r="11" spans="1:10" x14ac:dyDescent="0.25">
      <c r="A11" s="1" t="s">
        <v>0</v>
      </c>
      <c r="B11">
        <v>1</v>
      </c>
      <c r="C11" s="2">
        <v>139.34700000000001</v>
      </c>
      <c r="D11">
        <v>138.279</v>
      </c>
      <c r="E11">
        <v>137.43799999999999</v>
      </c>
      <c r="F11">
        <v>137.79400000000001</v>
      </c>
      <c r="G11">
        <v>138.477</v>
      </c>
      <c r="H11">
        <v>138.05099999999999</v>
      </c>
      <c r="I11" s="2">
        <f>AVERAGE(wTask[[#This Row],[W1]:[W6]])</f>
        <v>138.23099999999999</v>
      </c>
      <c r="J11">
        <f>_xlfn.STDEV.P(wTask[[#This Row],[W1]:[W6]])</f>
        <v>0.60006860718866051</v>
      </c>
    </row>
    <row r="12" spans="1:10" x14ac:dyDescent="0.25">
      <c r="A12" s="13" t="s">
        <v>1</v>
      </c>
      <c r="B12" s="14">
        <v>0</v>
      </c>
      <c r="C12" s="15">
        <v>129.73500000000001</v>
      </c>
      <c r="D12" s="14">
        <v>129.25399999999999</v>
      </c>
      <c r="E12" s="14">
        <v>128.55199999999999</v>
      </c>
      <c r="F12" s="14">
        <v>129.19999999999999</v>
      </c>
      <c r="G12" s="14">
        <v>128.577</v>
      </c>
      <c r="H12" s="14">
        <v>127.754</v>
      </c>
      <c r="I12" s="15">
        <f>AVERAGE(wTask[[#This Row],[W1]:[W6]])</f>
        <v>128.84533333333334</v>
      </c>
      <c r="J12" s="14">
        <f>_xlfn.STDEV.P(wTask[[#This Row],[W1]:[W6]])</f>
        <v>0.63683584139783578</v>
      </c>
    </row>
    <row r="13" spans="1:10" x14ac:dyDescent="0.25">
      <c r="A13" s="1" t="s">
        <v>1</v>
      </c>
      <c r="B13">
        <v>0.01</v>
      </c>
      <c r="C13" s="2">
        <v>129.25899999999999</v>
      </c>
      <c r="D13">
        <v>128.56</v>
      </c>
      <c r="E13">
        <v>129.357</v>
      </c>
      <c r="F13">
        <v>128.18</v>
      </c>
      <c r="G13">
        <v>127.783</v>
      </c>
      <c r="H13">
        <v>127.97199999999999</v>
      </c>
      <c r="I13" s="2">
        <f>AVERAGE(wTask[[#This Row],[W1]:[W6]])</f>
        <v>128.51849999999999</v>
      </c>
      <c r="J13">
        <f>_xlfn.STDEV.P(wTask[[#This Row],[W1]:[W6]])</f>
        <v>0.60654066915032978</v>
      </c>
    </row>
    <row r="14" spans="1:10" x14ac:dyDescent="0.25">
      <c r="A14" s="1" t="s">
        <v>1</v>
      </c>
      <c r="B14">
        <v>1.7999999999999999E-2</v>
      </c>
      <c r="C14" s="2">
        <v>127.861</v>
      </c>
      <c r="D14">
        <v>127.087</v>
      </c>
      <c r="E14">
        <v>127.788</v>
      </c>
      <c r="F14">
        <v>127.447</v>
      </c>
      <c r="G14">
        <v>126.688</v>
      </c>
      <c r="H14">
        <v>126.446</v>
      </c>
      <c r="I14" s="2">
        <f>AVERAGE(wTask[[#This Row],[W1]:[W6]])</f>
        <v>127.2195</v>
      </c>
      <c r="J14">
        <f>_xlfn.STDEV.P(wTask[[#This Row],[W1]:[W6]])</f>
        <v>0.52990903307391712</v>
      </c>
    </row>
    <row r="15" spans="1:10" x14ac:dyDescent="0.25">
      <c r="A15" s="1" t="s">
        <v>1</v>
      </c>
      <c r="B15">
        <v>3.1E-2</v>
      </c>
      <c r="C15" s="2">
        <v>129.09100000000001</v>
      </c>
      <c r="D15">
        <v>128.69300000000001</v>
      </c>
      <c r="E15">
        <v>127.824</v>
      </c>
      <c r="F15">
        <v>128.93899999999999</v>
      </c>
      <c r="G15">
        <v>129.03399999999999</v>
      </c>
      <c r="H15">
        <v>128.27600000000001</v>
      </c>
      <c r="I15" s="2">
        <f>AVERAGE(wTask[[#This Row],[W1]:[W6]])</f>
        <v>128.64283333333333</v>
      </c>
      <c r="J15">
        <f>_xlfn.STDEV.P(wTask[[#This Row],[W1]:[W6]])</f>
        <v>0.45628040233561912</v>
      </c>
    </row>
    <row r="16" spans="1:10" x14ac:dyDescent="0.25">
      <c r="A16" s="1" t="s">
        <v>1</v>
      </c>
      <c r="B16">
        <v>5.6000000000000001E-2</v>
      </c>
      <c r="C16" s="2">
        <v>128.886</v>
      </c>
      <c r="D16">
        <v>129.00399999999999</v>
      </c>
      <c r="E16">
        <v>128.386</v>
      </c>
      <c r="F16">
        <v>129.16900000000001</v>
      </c>
      <c r="G16">
        <v>128.12</v>
      </c>
      <c r="H16">
        <v>128.70400000000001</v>
      </c>
      <c r="I16" s="2">
        <f>AVERAGE(wTask[[#This Row],[W1]:[W6]])</f>
        <v>128.7115</v>
      </c>
      <c r="J16">
        <f>_xlfn.STDEV.P(wTask[[#This Row],[W1]:[W6]])</f>
        <v>0.36083040799430061</v>
      </c>
    </row>
    <row r="17" spans="1:10" x14ac:dyDescent="0.25">
      <c r="A17" s="1" t="s">
        <v>1</v>
      </c>
      <c r="B17">
        <v>0.1</v>
      </c>
      <c r="C17" s="2">
        <v>128.976</v>
      </c>
      <c r="D17">
        <v>128.804</v>
      </c>
      <c r="E17">
        <v>127.901</v>
      </c>
      <c r="F17">
        <v>127.23699999999999</v>
      </c>
      <c r="G17">
        <v>127.83499999999999</v>
      </c>
      <c r="H17">
        <v>128.21799999999999</v>
      </c>
      <c r="I17" s="2">
        <f>AVERAGE(wTask[[#This Row],[W1]:[W6]])</f>
        <v>128.16183333333333</v>
      </c>
      <c r="J17">
        <f>_xlfn.STDEV.P(wTask[[#This Row],[W1]:[W6]])</f>
        <v>0.59281402836152997</v>
      </c>
    </row>
    <row r="18" spans="1:10" x14ac:dyDescent="0.25">
      <c r="A18" s="1" t="s">
        <v>1</v>
      </c>
      <c r="B18">
        <v>0.18</v>
      </c>
      <c r="C18" s="2">
        <v>131.22</v>
      </c>
      <c r="D18">
        <v>130.422</v>
      </c>
      <c r="E18">
        <v>129.65600000000001</v>
      </c>
      <c r="F18">
        <v>130.35300000000001</v>
      </c>
      <c r="G18">
        <v>129.18299999999999</v>
      </c>
      <c r="H18">
        <v>130.77699999999999</v>
      </c>
      <c r="I18" s="2">
        <f>AVERAGE(wTask[[#This Row],[W1]:[W6]])</f>
        <v>130.26850000000002</v>
      </c>
      <c r="J18">
        <f>_xlfn.STDEV.P(wTask[[#This Row],[W1]:[W6]])</f>
        <v>0.6767684857714138</v>
      </c>
    </row>
    <row r="19" spans="1:10" x14ac:dyDescent="0.25">
      <c r="A19" s="1" t="s">
        <v>1</v>
      </c>
      <c r="B19">
        <v>0.31</v>
      </c>
      <c r="C19" s="2">
        <v>131.55600000000001</v>
      </c>
      <c r="D19">
        <v>133.15</v>
      </c>
      <c r="E19">
        <v>132.76599999999999</v>
      </c>
      <c r="F19">
        <v>131.054</v>
      </c>
      <c r="G19">
        <v>132.244</v>
      </c>
      <c r="H19">
        <v>130.739</v>
      </c>
      <c r="I19" s="2">
        <f>AVERAGE(wTask[[#This Row],[W1]:[W6]])</f>
        <v>131.91816666666668</v>
      </c>
      <c r="J19">
        <f>_xlfn.STDEV.P(wTask[[#This Row],[W1]:[W6]])</f>
        <v>0.87662086382248805</v>
      </c>
    </row>
    <row r="20" spans="1:10" x14ac:dyDescent="0.25">
      <c r="A20" s="1" t="s">
        <v>1</v>
      </c>
      <c r="B20">
        <v>0.56000000000000005</v>
      </c>
      <c r="C20" s="2">
        <v>141.72</v>
      </c>
      <c r="D20">
        <v>141.291</v>
      </c>
      <c r="E20">
        <v>142.28</v>
      </c>
      <c r="F20">
        <v>143.649</v>
      </c>
      <c r="G20">
        <v>140.96</v>
      </c>
      <c r="H20">
        <v>144.78299999999999</v>
      </c>
      <c r="I20" s="2">
        <f>AVERAGE(wTask[[#This Row],[W1]:[W6]])</f>
        <v>142.44716666666667</v>
      </c>
      <c r="J20">
        <f>_xlfn.STDEV.P(wTask[[#This Row],[W1]:[W6]])</f>
        <v>1.3543524180294471</v>
      </c>
    </row>
    <row r="21" spans="1:10" x14ac:dyDescent="0.25">
      <c r="A21" s="1" t="s">
        <v>1</v>
      </c>
      <c r="B21">
        <v>1</v>
      </c>
      <c r="C21" s="2">
        <v>136.41900000000001</v>
      </c>
      <c r="D21">
        <v>137.12700000000001</v>
      </c>
      <c r="E21">
        <v>136.54300000000001</v>
      </c>
      <c r="F21">
        <v>136.07499999999999</v>
      </c>
      <c r="G21">
        <v>136.733</v>
      </c>
      <c r="H21">
        <v>139.87200000000001</v>
      </c>
      <c r="I21" s="2">
        <f>AVERAGE(wTask[[#This Row],[W1]:[W6]])</f>
        <v>137.12816666666666</v>
      </c>
      <c r="J21">
        <f>_xlfn.STDEV.P(wTask[[#This Row],[W1]:[W6]])</f>
        <v>1.2674960113897404</v>
      </c>
    </row>
    <row r="22" spans="1:10" x14ac:dyDescent="0.25">
      <c r="A22" s="13" t="s">
        <v>2</v>
      </c>
      <c r="B22" s="14">
        <v>0</v>
      </c>
      <c r="C22" s="15">
        <v>129.858</v>
      </c>
      <c r="D22" s="14">
        <v>129.19399999999999</v>
      </c>
      <c r="E22" s="14">
        <v>128.85</v>
      </c>
      <c r="F22" s="14">
        <v>128.517</v>
      </c>
      <c r="G22" s="14">
        <v>129.958</v>
      </c>
      <c r="H22" s="14">
        <v>129.185</v>
      </c>
      <c r="I22" s="15">
        <f>AVERAGE(wTask[[#This Row],[W1]:[W6]])</f>
        <v>129.26033333333336</v>
      </c>
      <c r="J22" s="14">
        <f>_xlfn.STDEV.P(wTask[[#This Row],[W1]:[W6]])</f>
        <v>0.51233734546249698</v>
      </c>
    </row>
    <row r="23" spans="1:10" x14ac:dyDescent="0.25">
      <c r="A23" s="1" t="s">
        <v>2</v>
      </c>
      <c r="B23">
        <v>0.01</v>
      </c>
      <c r="C23" s="2">
        <v>128.435</v>
      </c>
      <c r="D23">
        <v>127.23699999999999</v>
      </c>
      <c r="E23">
        <v>127.322</v>
      </c>
      <c r="F23">
        <v>127.15300000000001</v>
      </c>
      <c r="G23">
        <v>126.52200000000001</v>
      </c>
      <c r="H23">
        <v>126.92100000000001</v>
      </c>
      <c r="I23" s="2">
        <f>AVERAGE(wTask[[#This Row],[W1]:[W6]])</f>
        <v>127.26500000000003</v>
      </c>
      <c r="J23">
        <f>_xlfn.STDEV.P(wTask[[#This Row],[W1]:[W6]])</f>
        <v>0.58535772538394437</v>
      </c>
    </row>
    <row r="24" spans="1:10" x14ac:dyDescent="0.25">
      <c r="A24" s="1" t="s">
        <v>2</v>
      </c>
      <c r="B24">
        <v>1.7999999999999999E-2</v>
      </c>
      <c r="C24" s="2">
        <v>127.28400000000001</v>
      </c>
      <c r="D24">
        <v>126.539</v>
      </c>
      <c r="E24">
        <v>127.33799999999999</v>
      </c>
      <c r="F24">
        <v>127.00700000000001</v>
      </c>
      <c r="G24">
        <v>126.907</v>
      </c>
      <c r="H24">
        <v>127.024</v>
      </c>
      <c r="I24" s="2">
        <f>AVERAGE(wTask[[#This Row],[W1]:[W6]])</f>
        <v>127.01650000000001</v>
      </c>
      <c r="J24">
        <f>_xlfn.STDEV.P(wTask[[#This Row],[W1]:[W6]])</f>
        <v>0.26301505026645611</v>
      </c>
    </row>
    <row r="25" spans="1:10" x14ac:dyDescent="0.25">
      <c r="A25" s="1" t="s">
        <v>2</v>
      </c>
      <c r="B25">
        <v>3.1E-2</v>
      </c>
      <c r="C25" s="2">
        <v>128.68799999999999</v>
      </c>
      <c r="D25">
        <v>128.43899999999999</v>
      </c>
      <c r="E25">
        <v>127.90900000000001</v>
      </c>
      <c r="F25">
        <v>127.381</v>
      </c>
      <c r="G25">
        <v>128.39599999999999</v>
      </c>
      <c r="H25">
        <v>127.57299999999999</v>
      </c>
      <c r="I25" s="2">
        <f>AVERAGE(wTask[[#This Row],[W1]:[W6]])</f>
        <v>128.06433333333331</v>
      </c>
      <c r="J25">
        <f>_xlfn.STDEV.P(wTask[[#This Row],[W1]:[W6]])</f>
        <v>0.4781595503130221</v>
      </c>
    </row>
    <row r="26" spans="1:10" x14ac:dyDescent="0.25">
      <c r="A26" s="1" t="s">
        <v>2</v>
      </c>
      <c r="B26">
        <v>5.6000000000000001E-2</v>
      </c>
      <c r="C26" s="2">
        <v>128.40199999999999</v>
      </c>
      <c r="D26">
        <v>126.624</v>
      </c>
      <c r="E26">
        <v>128.357</v>
      </c>
      <c r="F26">
        <v>127.294</v>
      </c>
      <c r="G26">
        <v>126.629</v>
      </c>
      <c r="H26">
        <v>126.97199999999999</v>
      </c>
      <c r="I26" s="2">
        <f>AVERAGE(wTask[[#This Row],[W1]:[W6]])</f>
        <v>127.37966666666665</v>
      </c>
      <c r="J26">
        <f>_xlfn.STDEV.P(wTask[[#This Row],[W1]:[W6]])</f>
        <v>0.74256417605184244</v>
      </c>
    </row>
    <row r="27" spans="1:10" x14ac:dyDescent="0.25">
      <c r="A27" s="1" t="s">
        <v>2</v>
      </c>
      <c r="B27">
        <v>0.1</v>
      </c>
      <c r="C27" s="2">
        <v>128.935</v>
      </c>
      <c r="D27">
        <v>128.23599999999999</v>
      </c>
      <c r="E27">
        <v>128.32599999999999</v>
      </c>
      <c r="F27">
        <v>129.053</v>
      </c>
      <c r="G27">
        <v>128.983</v>
      </c>
      <c r="H27">
        <v>129.00299999999999</v>
      </c>
      <c r="I27" s="2">
        <f>AVERAGE(wTask[[#This Row],[W1]:[W6]])</f>
        <v>128.75599999999997</v>
      </c>
      <c r="J27">
        <f>_xlfn.STDEV.P(wTask[[#This Row],[W1]:[W6]])</f>
        <v>0.33864632484841029</v>
      </c>
    </row>
    <row r="28" spans="1:10" x14ac:dyDescent="0.25">
      <c r="A28" s="1" t="s">
        <v>2</v>
      </c>
      <c r="B28">
        <v>0.18</v>
      </c>
      <c r="C28" s="2">
        <v>129.815</v>
      </c>
      <c r="D28">
        <v>128.35900000000001</v>
      </c>
      <c r="E28">
        <v>129.24199999999999</v>
      </c>
      <c r="F28">
        <v>130.22999999999999</v>
      </c>
      <c r="G28">
        <v>129.37100000000001</v>
      </c>
      <c r="H28">
        <v>128.68199999999999</v>
      </c>
      <c r="I28" s="2">
        <f>AVERAGE(wTask[[#This Row],[W1]:[W6]])</f>
        <v>129.28316666666666</v>
      </c>
      <c r="J28">
        <f>_xlfn.STDEV.P(wTask[[#This Row],[W1]:[W6]])</f>
        <v>0.63301327439126587</v>
      </c>
    </row>
    <row r="29" spans="1:10" x14ac:dyDescent="0.25">
      <c r="A29" s="1" t="s">
        <v>2</v>
      </c>
      <c r="B29">
        <v>0.31</v>
      </c>
      <c r="C29" s="2">
        <v>130.68299999999999</v>
      </c>
      <c r="D29">
        <v>130.154</v>
      </c>
      <c r="E29">
        <v>131.53899999999999</v>
      </c>
      <c r="F29">
        <v>132.39599999999999</v>
      </c>
      <c r="G29">
        <v>133.208</v>
      </c>
      <c r="H29">
        <v>132.309</v>
      </c>
      <c r="I29" s="2">
        <f>AVERAGE(wTask[[#This Row],[W1]:[W6]])</f>
        <v>131.7148333333333</v>
      </c>
      <c r="J29">
        <f>_xlfn.STDEV.P(wTask[[#This Row],[W1]:[W6]])</f>
        <v>1.0470885694258261</v>
      </c>
    </row>
    <row r="30" spans="1:10" x14ac:dyDescent="0.25">
      <c r="A30" s="1" t="s">
        <v>2</v>
      </c>
      <c r="B30">
        <v>0.56000000000000005</v>
      </c>
      <c r="C30" s="2">
        <v>142.18899999999999</v>
      </c>
      <c r="D30">
        <v>143.19800000000001</v>
      </c>
      <c r="E30">
        <v>143.065</v>
      </c>
      <c r="F30">
        <v>144.608</v>
      </c>
      <c r="G30">
        <v>140.25899999999999</v>
      </c>
      <c r="H30">
        <v>141.042</v>
      </c>
      <c r="I30" s="2">
        <f>AVERAGE(wTask[[#This Row],[W1]:[W6]])</f>
        <v>142.39349999999999</v>
      </c>
      <c r="J30">
        <f>_xlfn.STDEV.P(wTask[[#This Row],[W1]:[W6]])</f>
        <v>1.43913200112661</v>
      </c>
    </row>
    <row r="31" spans="1:10" x14ac:dyDescent="0.25">
      <c r="A31" s="1" t="s">
        <v>2</v>
      </c>
      <c r="B31">
        <v>1</v>
      </c>
      <c r="C31" s="2">
        <v>137.46100000000001</v>
      </c>
      <c r="D31">
        <v>135.22800000000001</v>
      </c>
      <c r="E31">
        <v>137.43100000000001</v>
      </c>
      <c r="F31">
        <v>137.18</v>
      </c>
      <c r="G31">
        <v>137.01900000000001</v>
      </c>
      <c r="H31">
        <v>138.03200000000001</v>
      </c>
      <c r="I31" s="2">
        <f>AVERAGE(wTask[[#This Row],[W1]:[W6]])</f>
        <v>137.05850000000001</v>
      </c>
      <c r="J31">
        <f>_xlfn.STDEV.P(wTask[[#This Row],[W1]:[W6]])</f>
        <v>0.87707064519722033</v>
      </c>
    </row>
    <row r="32" spans="1:10" x14ac:dyDescent="0.25">
      <c r="A32" s="13" t="s">
        <v>3</v>
      </c>
      <c r="B32" s="14">
        <v>0</v>
      </c>
      <c r="C32" s="15">
        <v>129.09399999999999</v>
      </c>
      <c r="D32" s="14">
        <v>129.29900000000001</v>
      </c>
      <c r="E32" s="14">
        <v>127.925</v>
      </c>
      <c r="F32" s="14">
        <v>128.178</v>
      </c>
      <c r="G32" s="14">
        <v>128.25200000000001</v>
      </c>
      <c r="H32" s="14">
        <v>127.384</v>
      </c>
      <c r="I32" s="15">
        <f>AVERAGE(wTask[[#This Row],[W1]:[W6]])</f>
        <v>128.35533333333333</v>
      </c>
      <c r="J32" s="14">
        <f>_xlfn.STDEV.P(wTask[[#This Row],[W1]:[W6]])</f>
        <v>0.65915796454432907</v>
      </c>
    </row>
    <row r="33" spans="1:10" x14ac:dyDescent="0.25">
      <c r="A33" s="1" t="s">
        <v>3</v>
      </c>
      <c r="B33">
        <v>0.01</v>
      </c>
      <c r="C33" s="2">
        <v>127.428</v>
      </c>
      <c r="D33">
        <v>127.726</v>
      </c>
      <c r="E33">
        <v>127.71299999999999</v>
      </c>
      <c r="F33">
        <v>126.898</v>
      </c>
      <c r="G33">
        <v>127.492</v>
      </c>
      <c r="H33">
        <v>126.462</v>
      </c>
      <c r="I33" s="2">
        <f>AVERAGE(wTask[[#This Row],[W1]:[W6]])</f>
        <v>127.28649999999999</v>
      </c>
      <c r="J33">
        <f>_xlfn.STDEV.P(wTask[[#This Row],[W1]:[W6]])</f>
        <v>0.45971866396742994</v>
      </c>
    </row>
    <row r="34" spans="1:10" x14ac:dyDescent="0.25">
      <c r="A34" s="1" t="s">
        <v>3</v>
      </c>
      <c r="B34">
        <v>1.7999999999999999E-2</v>
      </c>
      <c r="C34" s="2">
        <v>128.15600000000001</v>
      </c>
      <c r="D34">
        <v>128.26300000000001</v>
      </c>
      <c r="E34">
        <v>128.63399999999999</v>
      </c>
      <c r="F34">
        <v>128.38900000000001</v>
      </c>
      <c r="G34">
        <v>128.99</v>
      </c>
      <c r="H34">
        <v>128.422</v>
      </c>
      <c r="I34" s="2">
        <f>AVERAGE(wTask[[#This Row],[W1]:[W6]])</f>
        <v>128.47566666666668</v>
      </c>
      <c r="J34">
        <f>_xlfn.STDEV.P(wTask[[#This Row],[W1]:[W6]])</f>
        <v>0.27307304680046413</v>
      </c>
    </row>
    <row r="35" spans="1:10" x14ac:dyDescent="0.25">
      <c r="A35" s="1" t="s">
        <v>3</v>
      </c>
      <c r="B35">
        <v>3.1E-2</v>
      </c>
      <c r="C35" s="2">
        <v>128.78800000000001</v>
      </c>
      <c r="D35">
        <v>128.596</v>
      </c>
      <c r="E35">
        <v>127.88800000000001</v>
      </c>
      <c r="F35">
        <v>127.649</v>
      </c>
      <c r="G35">
        <v>127.437</v>
      </c>
      <c r="H35">
        <v>128.15799999999999</v>
      </c>
      <c r="I35" s="2">
        <f>AVERAGE(wTask[[#This Row],[W1]:[W6]])</f>
        <v>128.08600000000001</v>
      </c>
      <c r="J35">
        <f>_xlfn.STDEV.P(wTask[[#This Row],[W1]:[W6]])</f>
        <v>0.48467549281280586</v>
      </c>
    </row>
    <row r="36" spans="1:10" x14ac:dyDescent="0.25">
      <c r="A36" s="1" t="s">
        <v>3</v>
      </c>
      <c r="B36">
        <v>5.6000000000000001E-2</v>
      </c>
      <c r="C36" s="2">
        <v>129.059</v>
      </c>
      <c r="D36">
        <v>129.869</v>
      </c>
      <c r="E36">
        <v>129.50700000000001</v>
      </c>
      <c r="F36">
        <v>128.66900000000001</v>
      </c>
      <c r="G36">
        <v>128.70500000000001</v>
      </c>
      <c r="H36">
        <v>128.93799999999999</v>
      </c>
      <c r="I36" s="2">
        <f>AVERAGE(wTask[[#This Row],[W1]:[W6]])</f>
        <v>129.12450000000001</v>
      </c>
      <c r="J36">
        <f>_xlfn.STDEV.P(wTask[[#This Row],[W1]:[W6]])</f>
        <v>0.43265064813695964</v>
      </c>
    </row>
    <row r="37" spans="1:10" x14ac:dyDescent="0.25">
      <c r="A37" s="1" t="s">
        <v>3</v>
      </c>
      <c r="B37">
        <v>0.1</v>
      </c>
      <c r="C37" s="2">
        <v>130.43299999999999</v>
      </c>
      <c r="D37">
        <v>129.73599999999999</v>
      </c>
      <c r="E37">
        <v>129.94900000000001</v>
      </c>
      <c r="F37">
        <v>129.25</v>
      </c>
      <c r="G37">
        <v>129.67099999999999</v>
      </c>
      <c r="H37">
        <v>129.833</v>
      </c>
      <c r="I37" s="2">
        <f>AVERAGE(wTask[[#This Row],[W1]:[W6]])</f>
        <v>129.81199999999998</v>
      </c>
      <c r="J37">
        <f>_xlfn.STDEV.P(wTask[[#This Row],[W1]:[W6]])</f>
        <v>0.35269250062908858</v>
      </c>
    </row>
    <row r="38" spans="1:10" x14ac:dyDescent="0.25">
      <c r="A38" s="1" t="s">
        <v>3</v>
      </c>
      <c r="B38">
        <v>0.18</v>
      </c>
      <c r="C38" s="2">
        <v>130.161</v>
      </c>
      <c r="D38">
        <v>129.74299999999999</v>
      </c>
      <c r="E38">
        <v>129.357</v>
      </c>
      <c r="F38">
        <v>130.69300000000001</v>
      </c>
      <c r="G38">
        <v>129.999</v>
      </c>
      <c r="H38">
        <v>129.852</v>
      </c>
      <c r="I38" s="2">
        <f>AVERAGE(wTask[[#This Row],[W1]:[W6]])</f>
        <v>129.9675</v>
      </c>
      <c r="J38">
        <f>_xlfn.STDEV.P(wTask[[#This Row],[W1]:[W6]])</f>
        <v>0.40850040799653631</v>
      </c>
    </row>
    <row r="39" spans="1:10" x14ac:dyDescent="0.25">
      <c r="A39" s="1" t="s">
        <v>3</v>
      </c>
      <c r="B39">
        <v>0.31</v>
      </c>
      <c r="C39" s="2">
        <v>134.251</v>
      </c>
      <c r="D39">
        <v>133.78299999999999</v>
      </c>
      <c r="E39">
        <v>133.35400000000001</v>
      </c>
      <c r="F39">
        <v>134.18700000000001</v>
      </c>
      <c r="G39">
        <v>134.03299999999999</v>
      </c>
      <c r="H39">
        <v>133.89500000000001</v>
      </c>
      <c r="I39" s="2">
        <f>AVERAGE(wTask[[#This Row],[W1]:[W6]])</f>
        <v>133.91716666666667</v>
      </c>
      <c r="J39">
        <f>_xlfn.STDEV.P(wTask[[#This Row],[W1]:[W6]])</f>
        <v>0.29813890312328351</v>
      </c>
    </row>
    <row r="40" spans="1:10" x14ac:dyDescent="0.25">
      <c r="A40" s="1" t="s">
        <v>3</v>
      </c>
      <c r="B40">
        <v>0.56000000000000005</v>
      </c>
      <c r="C40" s="2">
        <v>145.03100000000001</v>
      </c>
      <c r="D40">
        <v>145.41900000000001</v>
      </c>
      <c r="E40">
        <v>144.89599999999999</v>
      </c>
      <c r="F40">
        <v>145.31700000000001</v>
      </c>
      <c r="G40">
        <v>144.708</v>
      </c>
      <c r="H40">
        <v>144.58099999999999</v>
      </c>
      <c r="I40" s="2">
        <f>AVERAGE(wTask[[#This Row],[W1]:[W6]])</f>
        <v>144.99199999999999</v>
      </c>
      <c r="J40">
        <f>_xlfn.STDEV.P(wTask[[#This Row],[W1]:[W6]])</f>
        <v>0.30228794220081712</v>
      </c>
    </row>
    <row r="41" spans="1:10" x14ac:dyDescent="0.25">
      <c r="A41" s="1" t="s">
        <v>3</v>
      </c>
      <c r="B41">
        <v>1</v>
      </c>
      <c r="C41" s="2">
        <v>139.26499999999999</v>
      </c>
      <c r="D41">
        <v>139.78899999999999</v>
      </c>
      <c r="E41">
        <v>139.51900000000001</v>
      </c>
      <c r="F41">
        <v>139.524</v>
      </c>
      <c r="G41">
        <v>139.47900000000001</v>
      </c>
      <c r="H41">
        <v>139.71199999999999</v>
      </c>
      <c r="I41" s="2">
        <f>AVERAGE(wTask[[#This Row],[W1]:[W6]])</f>
        <v>139.548</v>
      </c>
      <c r="J41">
        <f>_xlfn.STDEV.P(wTask[[#This Row],[W1]:[W6]])</f>
        <v>0.16893983149827624</v>
      </c>
    </row>
    <row r="42" spans="1:10" x14ac:dyDescent="0.25">
      <c r="A42" s="13" t="s">
        <v>4</v>
      </c>
      <c r="B42" s="14">
        <v>0</v>
      </c>
      <c r="C42" s="15">
        <v>169.92699999999999</v>
      </c>
      <c r="D42" s="14">
        <v>168.10599999999999</v>
      </c>
      <c r="E42" s="14">
        <v>174.65</v>
      </c>
      <c r="F42" s="14">
        <v>176.767</v>
      </c>
      <c r="G42" s="14">
        <v>179.22200000000001</v>
      </c>
      <c r="H42" s="14">
        <v>176.86699999999999</v>
      </c>
      <c r="I42" s="15">
        <f>AVERAGE(wTask[[#This Row],[W1]:[W6]])</f>
        <v>174.25649999999999</v>
      </c>
      <c r="J42" s="14">
        <f>_xlfn.STDEV.P(wTask[[#This Row],[W1]:[W6]])</f>
        <v>3.9686600068537019</v>
      </c>
    </row>
    <row r="43" spans="1:10" x14ac:dyDescent="0.25">
      <c r="A43" s="1" t="s">
        <v>4</v>
      </c>
      <c r="B43">
        <v>0.01</v>
      </c>
      <c r="C43" s="2">
        <v>174.792</v>
      </c>
      <c r="D43">
        <v>175.75200000000001</v>
      </c>
      <c r="E43">
        <v>170.09700000000001</v>
      </c>
      <c r="F43">
        <v>174.095</v>
      </c>
      <c r="G43">
        <v>174.44300000000001</v>
      </c>
      <c r="H43">
        <v>174.50700000000001</v>
      </c>
      <c r="I43" s="2">
        <f>AVERAGE(wTask[[#This Row],[W1]:[W6]])</f>
        <v>173.94766666666666</v>
      </c>
      <c r="J43">
        <f>_xlfn.STDEV.P(wTask[[#This Row],[W1]:[W6]])</f>
        <v>1.7970377167871447</v>
      </c>
    </row>
    <row r="44" spans="1:10" x14ac:dyDescent="0.25">
      <c r="A44" s="1" t="s">
        <v>4</v>
      </c>
      <c r="B44">
        <v>1.7999999999999999E-2</v>
      </c>
      <c r="C44" s="2">
        <v>171.26300000000001</v>
      </c>
      <c r="D44">
        <v>172.857</v>
      </c>
      <c r="E44">
        <v>168.917</v>
      </c>
      <c r="F44">
        <v>175.26400000000001</v>
      </c>
      <c r="G44">
        <v>176.202</v>
      </c>
      <c r="H44">
        <v>175.85900000000001</v>
      </c>
      <c r="I44" s="2">
        <f>AVERAGE(wTask[[#This Row],[W1]:[W6]])</f>
        <v>173.39366666666669</v>
      </c>
      <c r="J44">
        <f>_xlfn.STDEV.P(wTask[[#This Row],[W1]:[W6]])</f>
        <v>2.6561578559181234</v>
      </c>
    </row>
    <row r="45" spans="1:10" x14ac:dyDescent="0.25">
      <c r="A45" s="1" t="s">
        <v>4</v>
      </c>
      <c r="B45">
        <v>3.1E-2</v>
      </c>
      <c r="C45" s="2">
        <v>176.39099999999999</v>
      </c>
      <c r="D45">
        <v>177.49</v>
      </c>
      <c r="E45">
        <v>166.946</v>
      </c>
      <c r="F45">
        <v>172.41</v>
      </c>
      <c r="G45">
        <v>175.42699999999999</v>
      </c>
      <c r="H45">
        <v>173.02</v>
      </c>
      <c r="I45" s="2">
        <f>AVERAGE(wTask[[#This Row],[W1]:[W6]])</f>
        <v>173.614</v>
      </c>
      <c r="J45">
        <f>_xlfn.STDEV.P(wTask[[#This Row],[W1]:[W6]])</f>
        <v>3.4709928934912373</v>
      </c>
    </row>
    <row r="46" spans="1:10" x14ac:dyDescent="0.25">
      <c r="A46" s="1" t="s">
        <v>4</v>
      </c>
      <c r="B46">
        <v>5.6000000000000001E-2</v>
      </c>
      <c r="C46" s="2">
        <v>175.6</v>
      </c>
      <c r="D46">
        <v>177.53200000000001</v>
      </c>
      <c r="E46">
        <v>177.06200000000001</v>
      </c>
      <c r="F46">
        <v>165.83099999999999</v>
      </c>
      <c r="G46">
        <v>168.66200000000001</v>
      </c>
      <c r="H46">
        <v>171.06399999999999</v>
      </c>
      <c r="I46" s="2">
        <f>AVERAGE(wTask[[#This Row],[W1]:[W6]])</f>
        <v>172.62516666666667</v>
      </c>
      <c r="J46">
        <f>_xlfn.STDEV.P(wTask[[#This Row],[W1]:[W6]])</f>
        <v>4.4143094747524145</v>
      </c>
    </row>
    <row r="47" spans="1:10" x14ac:dyDescent="0.25">
      <c r="A47" s="1" t="s">
        <v>4</v>
      </c>
      <c r="B47">
        <v>0.1</v>
      </c>
      <c r="C47" s="2">
        <v>180.471</v>
      </c>
      <c r="D47">
        <v>172.86500000000001</v>
      </c>
      <c r="E47">
        <v>172.28299999999999</v>
      </c>
      <c r="F47">
        <v>170.76599999999999</v>
      </c>
      <c r="G47">
        <v>168.82400000000001</v>
      </c>
      <c r="H47">
        <v>174.80600000000001</v>
      </c>
      <c r="I47" s="2">
        <f>AVERAGE(wTask[[#This Row],[W1]:[W6]])</f>
        <v>173.33583333333334</v>
      </c>
      <c r="J47">
        <f>_xlfn.STDEV.P(wTask[[#This Row],[W1]:[W6]])</f>
        <v>3.6824543181899161</v>
      </c>
    </row>
    <row r="48" spans="1:10" x14ac:dyDescent="0.25">
      <c r="A48" s="1" t="s">
        <v>4</v>
      </c>
      <c r="B48">
        <v>0.18</v>
      </c>
      <c r="C48" s="2">
        <v>176.22399999999999</v>
      </c>
      <c r="D48">
        <v>164.41800000000001</v>
      </c>
      <c r="E48">
        <v>172.66800000000001</v>
      </c>
      <c r="F48">
        <v>177.49299999999999</v>
      </c>
      <c r="G48">
        <v>178.98400000000001</v>
      </c>
      <c r="H48">
        <v>177.15799999999999</v>
      </c>
      <c r="I48" s="2">
        <f>AVERAGE(wTask[[#This Row],[W1]:[W6]])</f>
        <v>174.49083333333331</v>
      </c>
      <c r="J48">
        <f>_xlfn.STDEV.P(wTask[[#This Row],[W1]:[W6]])</f>
        <v>4.9007463518892225</v>
      </c>
    </row>
    <row r="49" spans="1:10" x14ac:dyDescent="0.25">
      <c r="A49" s="1" t="s">
        <v>4</v>
      </c>
      <c r="B49">
        <v>0.31</v>
      </c>
      <c r="C49" s="2">
        <v>170.22800000000001</v>
      </c>
      <c r="D49">
        <v>184.37899999999999</v>
      </c>
      <c r="E49">
        <v>169.744</v>
      </c>
      <c r="F49">
        <v>179.12100000000001</v>
      </c>
      <c r="G49">
        <v>179.19</v>
      </c>
      <c r="H49">
        <v>185.94800000000001</v>
      </c>
      <c r="I49" s="2">
        <f>AVERAGE(wTask[[#This Row],[W1]:[W6]])</f>
        <v>178.10166666666669</v>
      </c>
      <c r="J49">
        <f>_xlfn.STDEV.P(wTask[[#This Row],[W1]:[W6]])</f>
        <v>6.258841603861069</v>
      </c>
    </row>
    <row r="50" spans="1:10" x14ac:dyDescent="0.25">
      <c r="A50" s="1" t="s">
        <v>4</v>
      </c>
      <c r="B50">
        <v>0.56000000000000005</v>
      </c>
      <c r="C50" s="2">
        <v>197.428</v>
      </c>
      <c r="D50">
        <v>200.62899999999999</v>
      </c>
      <c r="E50">
        <v>198.535</v>
      </c>
      <c r="F50">
        <v>192.679</v>
      </c>
      <c r="G50">
        <v>167.214</v>
      </c>
      <c r="H50">
        <v>188.75700000000001</v>
      </c>
      <c r="I50" s="2">
        <f>AVERAGE(wTask[[#This Row],[W1]:[W6]])</f>
        <v>190.87366666666665</v>
      </c>
      <c r="J50">
        <f>_xlfn.STDEV.P(wTask[[#This Row],[W1]:[W6]])</f>
        <v>11.286726535576596</v>
      </c>
    </row>
    <row r="51" spans="1:10" x14ac:dyDescent="0.25">
      <c r="A51" s="1" t="s">
        <v>4</v>
      </c>
      <c r="B51">
        <v>1</v>
      </c>
      <c r="C51" s="2">
        <v>172.48599999999999</v>
      </c>
      <c r="D51">
        <v>171.874</v>
      </c>
      <c r="E51">
        <v>193.01300000000001</v>
      </c>
      <c r="F51">
        <v>185.12899999999999</v>
      </c>
      <c r="G51">
        <v>192.44399999999999</v>
      </c>
      <c r="H51">
        <v>198.666</v>
      </c>
      <c r="I51" s="2">
        <f>AVERAGE(wTask[[#This Row],[W1]:[W6]])</f>
        <v>185.602</v>
      </c>
      <c r="J51">
        <f>_xlfn.STDEV.P(wTask[[#This Row],[W1]:[W6]])</f>
        <v>10.272253485319894</v>
      </c>
    </row>
    <row r="52" spans="1:10" x14ac:dyDescent="0.25">
      <c r="A52" s="13" t="s">
        <v>5</v>
      </c>
      <c r="B52" s="14">
        <v>0</v>
      </c>
      <c r="C52" s="15">
        <v>173.261</v>
      </c>
      <c r="D52" s="14">
        <v>162.221</v>
      </c>
      <c r="E52" s="14">
        <v>171.61199999999999</v>
      </c>
      <c r="F52" s="14">
        <v>171.49799999999999</v>
      </c>
      <c r="G52" s="14">
        <v>162.67500000000001</v>
      </c>
      <c r="H52" s="14">
        <v>167.70099999999999</v>
      </c>
      <c r="I52" s="15">
        <f>AVERAGE(wTask[[#This Row],[W1]:[W6]])</f>
        <v>168.16133333333332</v>
      </c>
      <c r="J52" s="14">
        <f>_xlfn.STDEV.P(wTask[[#This Row],[W1]:[W6]])</f>
        <v>4.3712386751989998</v>
      </c>
    </row>
    <row r="53" spans="1:10" x14ac:dyDescent="0.25">
      <c r="A53" s="1" t="s">
        <v>5</v>
      </c>
      <c r="B53">
        <v>0.01</v>
      </c>
      <c r="C53" s="2">
        <v>175.495</v>
      </c>
      <c r="D53">
        <v>174.85400000000001</v>
      </c>
      <c r="E53">
        <v>168.84299999999999</v>
      </c>
      <c r="F53">
        <v>170.00700000000001</v>
      </c>
      <c r="G53">
        <v>170.971</v>
      </c>
      <c r="H53">
        <v>165.005</v>
      </c>
      <c r="I53" s="2">
        <f>AVERAGE(wTask[[#This Row],[W1]:[W6]])</f>
        <v>170.86250000000004</v>
      </c>
      <c r="J53">
        <f>_xlfn.STDEV.P(wTask[[#This Row],[W1]:[W6]])</f>
        <v>3.5712851911695189</v>
      </c>
    </row>
    <row r="54" spans="1:10" x14ac:dyDescent="0.25">
      <c r="A54" s="1" t="s">
        <v>5</v>
      </c>
      <c r="B54">
        <v>1.7999999999999999E-2</v>
      </c>
      <c r="C54" s="2">
        <v>173.465</v>
      </c>
      <c r="D54">
        <v>171.196</v>
      </c>
      <c r="E54">
        <v>174.82499999999999</v>
      </c>
      <c r="F54">
        <v>168.39699999999999</v>
      </c>
      <c r="G54">
        <v>169.61500000000001</v>
      </c>
      <c r="H54">
        <v>173.20400000000001</v>
      </c>
      <c r="I54" s="2">
        <f>AVERAGE(wTask[[#This Row],[W1]:[W6]])</f>
        <v>171.78366666666668</v>
      </c>
      <c r="J54">
        <f>_xlfn.STDEV.P(wTask[[#This Row],[W1]:[W6]])</f>
        <v>2.2587575985237742</v>
      </c>
    </row>
    <row r="55" spans="1:10" x14ac:dyDescent="0.25">
      <c r="A55" s="1" t="s">
        <v>5</v>
      </c>
      <c r="B55">
        <v>3.1E-2</v>
      </c>
      <c r="C55" s="2">
        <v>176.273</v>
      </c>
      <c r="D55">
        <v>166.81299999999999</v>
      </c>
      <c r="E55">
        <v>174.922</v>
      </c>
      <c r="F55">
        <v>176.02500000000001</v>
      </c>
      <c r="G55">
        <v>169.167</v>
      </c>
      <c r="H55">
        <v>174.494</v>
      </c>
      <c r="I55" s="2">
        <f>AVERAGE(wTask[[#This Row],[W1]:[W6]])</f>
        <v>172.94899999999998</v>
      </c>
      <c r="J55">
        <f>_xlfn.STDEV.P(wTask[[#This Row],[W1]:[W6]])</f>
        <v>3.6227182703967871</v>
      </c>
    </row>
    <row r="56" spans="1:10" x14ac:dyDescent="0.25">
      <c r="A56" s="1" t="s">
        <v>5</v>
      </c>
      <c r="B56">
        <v>5.6000000000000001E-2</v>
      </c>
      <c r="C56" s="2">
        <v>171.22800000000001</v>
      </c>
      <c r="D56">
        <v>174.06899999999999</v>
      </c>
      <c r="E56">
        <v>173.32</v>
      </c>
      <c r="F56">
        <v>172.88399999999999</v>
      </c>
      <c r="G56">
        <v>173.59800000000001</v>
      </c>
      <c r="H56">
        <v>172.00800000000001</v>
      </c>
      <c r="I56" s="2">
        <f>AVERAGE(wTask[[#This Row],[W1]:[W6]])</f>
        <v>172.85116666666667</v>
      </c>
      <c r="J56">
        <f>_xlfn.STDEV.P(wTask[[#This Row],[W1]:[W6]])</f>
        <v>0.96672650676852701</v>
      </c>
    </row>
    <row r="57" spans="1:10" x14ac:dyDescent="0.25">
      <c r="A57" s="1" t="s">
        <v>5</v>
      </c>
      <c r="B57">
        <v>0.1</v>
      </c>
      <c r="C57" s="2">
        <v>174.251</v>
      </c>
      <c r="D57">
        <v>175.904</v>
      </c>
      <c r="E57">
        <v>176.381</v>
      </c>
      <c r="F57">
        <v>173.697</v>
      </c>
      <c r="G57">
        <v>168.22499999999999</v>
      </c>
      <c r="H57">
        <v>175.40799999999999</v>
      </c>
      <c r="I57" s="2">
        <f>AVERAGE(wTask[[#This Row],[W1]:[W6]])</f>
        <v>173.97766666666666</v>
      </c>
      <c r="J57">
        <f>_xlfn.STDEV.P(wTask[[#This Row],[W1]:[W6]])</f>
        <v>2.7318883375586367</v>
      </c>
    </row>
    <row r="58" spans="1:10" x14ac:dyDescent="0.25">
      <c r="A58" s="1" t="s">
        <v>5</v>
      </c>
      <c r="B58">
        <v>0.18</v>
      </c>
      <c r="C58" s="2">
        <v>170.703</v>
      </c>
      <c r="D58">
        <v>177.291</v>
      </c>
      <c r="E58">
        <v>177.21899999999999</v>
      </c>
      <c r="F58">
        <v>175.077</v>
      </c>
      <c r="G58">
        <v>177.024</v>
      </c>
      <c r="H58">
        <v>176.55799999999999</v>
      </c>
      <c r="I58" s="2">
        <f>AVERAGE(wTask[[#This Row],[W1]:[W6]])</f>
        <v>175.6453333333333</v>
      </c>
      <c r="J58">
        <f>_xlfn.STDEV.P(wTask[[#This Row],[W1]:[W6]])</f>
        <v>2.3333805709504136</v>
      </c>
    </row>
    <row r="59" spans="1:10" x14ac:dyDescent="0.25">
      <c r="A59" s="1" t="s">
        <v>5</v>
      </c>
      <c r="B59">
        <v>0.31</v>
      </c>
      <c r="C59" s="2">
        <v>178.45400000000001</v>
      </c>
      <c r="D59">
        <v>184.172</v>
      </c>
      <c r="E59">
        <v>173.91</v>
      </c>
      <c r="F59">
        <v>178.53899999999999</v>
      </c>
      <c r="G59">
        <v>175.80199999999999</v>
      </c>
      <c r="H59">
        <v>180.8</v>
      </c>
      <c r="I59" s="2">
        <f>AVERAGE(wTask[[#This Row],[W1]:[W6]])</f>
        <v>178.61283333333333</v>
      </c>
      <c r="J59">
        <f>_xlfn.STDEV.P(wTask[[#This Row],[W1]:[W6]])</f>
        <v>3.3099883391872504</v>
      </c>
    </row>
    <row r="60" spans="1:10" x14ac:dyDescent="0.25">
      <c r="A60" s="1" t="s">
        <v>5</v>
      </c>
      <c r="B60">
        <v>0.56000000000000005</v>
      </c>
      <c r="C60" s="2">
        <v>196.959</v>
      </c>
      <c r="D60">
        <v>190.99100000000001</v>
      </c>
      <c r="E60">
        <v>197.14400000000001</v>
      </c>
      <c r="F60">
        <v>197.62</v>
      </c>
      <c r="G60">
        <v>183.29</v>
      </c>
      <c r="H60">
        <v>193.167</v>
      </c>
      <c r="I60" s="2">
        <f>AVERAGE(wTask[[#This Row],[W1]:[W6]])</f>
        <v>193.19516666666667</v>
      </c>
      <c r="J60">
        <f>_xlfn.STDEV.P(wTask[[#This Row],[W1]:[W6]])</f>
        <v>5.0383586420138444</v>
      </c>
    </row>
    <row r="61" spans="1:10" x14ac:dyDescent="0.25">
      <c r="A61" s="1" t="s">
        <v>5</v>
      </c>
      <c r="B61">
        <v>1</v>
      </c>
      <c r="C61" s="2">
        <v>188.19200000000001</v>
      </c>
      <c r="D61">
        <v>189.85400000000001</v>
      </c>
      <c r="E61">
        <v>193.202</v>
      </c>
      <c r="F61">
        <v>184.51900000000001</v>
      </c>
      <c r="G61">
        <v>185.63900000000001</v>
      </c>
      <c r="H61">
        <v>181.93899999999999</v>
      </c>
      <c r="I61" s="2">
        <f>AVERAGE(wTask[[#This Row],[W1]:[W6]])</f>
        <v>187.22416666666666</v>
      </c>
      <c r="J61">
        <f>_xlfn.STDEV.P(wTask[[#This Row],[W1]:[W6]])</f>
        <v>3.6821841985732102</v>
      </c>
    </row>
    <row r="62" spans="1:10" x14ac:dyDescent="0.25">
      <c r="A62" s="13" t="s">
        <v>6</v>
      </c>
      <c r="B62" s="14">
        <v>0</v>
      </c>
      <c r="C62" s="15">
        <v>116.336</v>
      </c>
      <c r="D62" s="14">
        <v>116.85</v>
      </c>
      <c r="E62" s="14">
        <v>116.46599999999999</v>
      </c>
      <c r="F62" s="14">
        <v>117.29300000000001</v>
      </c>
      <c r="G62" s="14">
        <v>116.997</v>
      </c>
      <c r="H62" s="14">
        <v>116.102</v>
      </c>
      <c r="I62" s="15">
        <f>AVERAGE(wTask[[#This Row],[W1]:[W6]])</f>
        <v>116.67399999999999</v>
      </c>
      <c r="J62" s="14">
        <f>_xlfn.STDEV.P(wTask[[#This Row],[W1]:[W6]])</f>
        <v>0.4088924063858374</v>
      </c>
    </row>
    <row r="63" spans="1:10" x14ac:dyDescent="0.25">
      <c r="A63" s="1" t="s">
        <v>6</v>
      </c>
      <c r="B63">
        <v>0.01</v>
      </c>
      <c r="C63" s="2">
        <v>123.828</v>
      </c>
      <c r="D63">
        <v>124.499</v>
      </c>
      <c r="E63">
        <v>123.58</v>
      </c>
      <c r="F63">
        <v>124.952</v>
      </c>
      <c r="G63">
        <v>124.133</v>
      </c>
      <c r="H63">
        <v>123.652</v>
      </c>
      <c r="I63" s="2">
        <f>AVERAGE(wTask[[#This Row],[W1]:[W6]])</f>
        <v>124.10733333333333</v>
      </c>
      <c r="J63">
        <f>_xlfn.STDEV.P(wTask[[#This Row],[W1]:[W6]])</f>
        <v>0.48835767857403545</v>
      </c>
    </row>
    <row r="64" spans="1:10" x14ac:dyDescent="0.25">
      <c r="A64" s="1" t="s">
        <v>6</v>
      </c>
      <c r="B64">
        <v>1.7999999999999999E-2</v>
      </c>
      <c r="C64" s="2">
        <v>127.039</v>
      </c>
      <c r="D64">
        <v>126.342</v>
      </c>
      <c r="E64">
        <v>127.29</v>
      </c>
      <c r="F64">
        <v>126.88500000000001</v>
      </c>
      <c r="G64">
        <v>127.68300000000001</v>
      </c>
      <c r="H64">
        <v>126.771</v>
      </c>
      <c r="I64" s="2">
        <f>AVERAGE(wTask[[#This Row],[W1]:[W6]])</f>
        <v>127.00166666666667</v>
      </c>
      <c r="J64">
        <f>_xlfn.STDEV.P(wTask[[#This Row],[W1]:[W6]])</f>
        <v>0.41847407990884899</v>
      </c>
    </row>
    <row r="65" spans="1:10" x14ac:dyDescent="0.25">
      <c r="A65" s="1" t="s">
        <v>6</v>
      </c>
      <c r="B65">
        <v>3.1E-2</v>
      </c>
      <c r="C65" s="2">
        <v>128.22</v>
      </c>
      <c r="D65">
        <v>126.818</v>
      </c>
      <c r="E65">
        <v>126.752</v>
      </c>
      <c r="F65">
        <v>128.19200000000001</v>
      </c>
      <c r="G65">
        <v>127.718</v>
      </c>
      <c r="H65">
        <v>126.443</v>
      </c>
      <c r="I65" s="2">
        <f>AVERAGE(wTask[[#This Row],[W1]:[W6]])</f>
        <v>127.35716666666667</v>
      </c>
      <c r="J65">
        <f>_xlfn.STDEV.P(wTask[[#This Row],[W1]:[W6]])</f>
        <v>0.71463940013284066</v>
      </c>
    </row>
    <row r="66" spans="1:10" x14ac:dyDescent="0.25">
      <c r="A66" s="1" t="s">
        <v>6</v>
      </c>
      <c r="B66">
        <v>5.6000000000000001E-2</v>
      </c>
      <c r="C66" s="2">
        <v>128.285</v>
      </c>
      <c r="D66">
        <v>126.938</v>
      </c>
      <c r="E66">
        <v>128.92500000000001</v>
      </c>
      <c r="F66">
        <v>128.41800000000001</v>
      </c>
      <c r="G66">
        <v>127.145</v>
      </c>
      <c r="H66">
        <v>128.745</v>
      </c>
      <c r="I66" s="2">
        <f>AVERAGE(wTask[[#This Row],[W1]:[W6]])</f>
        <v>128.07599999999999</v>
      </c>
      <c r="J66">
        <f>_xlfn.STDEV.P(wTask[[#This Row],[W1]:[W6]])</f>
        <v>0.76275946405141704</v>
      </c>
    </row>
    <row r="67" spans="1:10" x14ac:dyDescent="0.25">
      <c r="A67" s="1" t="s">
        <v>6</v>
      </c>
      <c r="B67">
        <v>0.1</v>
      </c>
      <c r="C67" s="2">
        <v>129.17500000000001</v>
      </c>
      <c r="D67">
        <v>129.19499999999999</v>
      </c>
      <c r="E67">
        <v>127.99</v>
      </c>
      <c r="F67">
        <v>129.51</v>
      </c>
      <c r="G67">
        <v>128.55799999999999</v>
      </c>
      <c r="H67">
        <v>128.86799999999999</v>
      </c>
      <c r="I67" s="2">
        <f>AVERAGE(wTask[[#This Row],[W1]:[W6]])</f>
        <v>128.88266666666667</v>
      </c>
      <c r="J67">
        <f>_xlfn.STDEV.P(wTask[[#This Row],[W1]:[W6]])</f>
        <v>0.49649359400589421</v>
      </c>
    </row>
    <row r="68" spans="1:10" x14ac:dyDescent="0.25">
      <c r="A68" s="1" t="s">
        <v>6</v>
      </c>
      <c r="B68">
        <v>0.18</v>
      </c>
      <c r="C68" s="2">
        <v>129.14599999999999</v>
      </c>
      <c r="D68">
        <v>130.40199999999999</v>
      </c>
      <c r="E68">
        <v>129.636</v>
      </c>
      <c r="F68">
        <v>129.36500000000001</v>
      </c>
      <c r="G68">
        <v>129.86000000000001</v>
      </c>
      <c r="H68">
        <v>129.358</v>
      </c>
      <c r="I68" s="2">
        <f>AVERAGE(wTask[[#This Row],[W1]:[W6]])</f>
        <v>129.62783333333334</v>
      </c>
      <c r="J68">
        <f>_xlfn.STDEV.P(wTask[[#This Row],[W1]:[W6]])</f>
        <v>0.41379480287805392</v>
      </c>
    </row>
    <row r="69" spans="1:10" x14ac:dyDescent="0.25">
      <c r="A69" s="1" t="s">
        <v>6</v>
      </c>
      <c r="B69">
        <v>0.31</v>
      </c>
      <c r="C69" s="2">
        <v>133.58199999999999</v>
      </c>
      <c r="D69">
        <v>133.26900000000001</v>
      </c>
      <c r="E69">
        <v>133.28800000000001</v>
      </c>
      <c r="F69">
        <v>133.73699999999999</v>
      </c>
      <c r="G69">
        <v>133.072</v>
      </c>
      <c r="H69">
        <v>133.85400000000001</v>
      </c>
      <c r="I69" s="2">
        <f>AVERAGE(wTask[[#This Row],[W1]:[W6]])</f>
        <v>133.46700000000001</v>
      </c>
      <c r="J69">
        <f>_xlfn.STDEV.P(wTask[[#This Row],[W1]:[W6]])</f>
        <v>0.27783808234293522</v>
      </c>
    </row>
    <row r="70" spans="1:10" x14ac:dyDescent="0.25">
      <c r="A70" s="1" t="s">
        <v>6</v>
      </c>
      <c r="B70">
        <v>0.56000000000000005</v>
      </c>
      <c r="C70" s="2">
        <v>145.31200000000001</v>
      </c>
      <c r="D70">
        <v>144.62200000000001</v>
      </c>
      <c r="E70">
        <v>147.149</v>
      </c>
      <c r="F70">
        <v>143.476</v>
      </c>
      <c r="G70">
        <v>143.977</v>
      </c>
      <c r="H70">
        <v>145.69200000000001</v>
      </c>
      <c r="I70" s="2">
        <f>AVERAGE(wTask[[#This Row],[W1]:[W6]])</f>
        <v>145.03799999999998</v>
      </c>
      <c r="J70">
        <f>_xlfn.STDEV.P(wTask[[#This Row],[W1]:[W6]])</f>
        <v>1.2040026301189437</v>
      </c>
    </row>
    <row r="71" spans="1:10" x14ac:dyDescent="0.25">
      <c r="A71" s="1" t="s">
        <v>6</v>
      </c>
      <c r="B71">
        <v>1</v>
      </c>
      <c r="C71" s="2">
        <v>138.87700000000001</v>
      </c>
      <c r="D71">
        <v>138.523</v>
      </c>
      <c r="E71">
        <v>140.173</v>
      </c>
      <c r="F71">
        <v>139.34100000000001</v>
      </c>
      <c r="G71">
        <v>138.94300000000001</v>
      </c>
      <c r="H71">
        <v>138.369</v>
      </c>
      <c r="I71" s="2">
        <f>AVERAGE(wTask[[#This Row],[W1]:[W6]])</f>
        <v>139.03766666666667</v>
      </c>
      <c r="J71">
        <f>_xlfn.STDEV.P(wTask[[#This Row],[W1]:[W6]])</f>
        <v>0.59550613393613072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B52E0-E3DC-4A25-A1C2-390DAB3ECDC5}">
  <dimension ref="A1:J71"/>
  <sheetViews>
    <sheetView topLeftCell="A31" workbookViewId="0">
      <selection activeCell="M39" sqref="M39"/>
    </sheetView>
  </sheetViews>
  <sheetFormatPr defaultRowHeight="15" x14ac:dyDescent="0.25"/>
  <cols>
    <col min="1" max="8" width="11.42578125" bestFit="1" customWidth="1"/>
  </cols>
  <sheetData>
    <row r="1" spans="1:10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</row>
    <row r="2" spans="1:10" x14ac:dyDescent="0.25">
      <c r="A2" s="1" t="s">
        <v>0</v>
      </c>
      <c r="B2">
        <v>0</v>
      </c>
      <c r="C2" s="2">
        <v>0.175486</v>
      </c>
      <c r="D2">
        <v>0.35050100000000001</v>
      </c>
      <c r="E2">
        <v>0.52556899999999995</v>
      </c>
      <c r="F2">
        <v>0.70060699999999998</v>
      </c>
      <c r="G2">
        <v>0.875637</v>
      </c>
      <c r="H2">
        <v>1.0506899999999999</v>
      </c>
      <c r="I2" s="2">
        <f>AVERAGE(wOver[[#This Row],[W1]:[W6]])</f>
        <v>0.61308166666666664</v>
      </c>
      <c r="J2">
        <f>_xlfn.STDEV.P(wOver[[#This Row],[W1]:[W6]])</f>
        <v>0.29894093097113489</v>
      </c>
    </row>
    <row r="3" spans="1:10" x14ac:dyDescent="0.25">
      <c r="A3" s="1" t="s">
        <v>0</v>
      </c>
      <c r="B3">
        <v>0.01</v>
      </c>
      <c r="C3" s="2">
        <v>0.52455200000000002</v>
      </c>
      <c r="D3">
        <v>0.172398</v>
      </c>
      <c r="E3">
        <v>0.347443</v>
      </c>
      <c r="F3">
        <v>0.69969300000000001</v>
      </c>
      <c r="G3">
        <v>0.87468699999999999</v>
      </c>
      <c r="H3">
        <v>1.0477799999999999</v>
      </c>
      <c r="I3" s="2">
        <f>AVERAGE(wOver[[#This Row],[W1]:[W6]])</f>
        <v>0.61109216666666666</v>
      </c>
      <c r="J3">
        <f>_xlfn.STDEV.P(wOver[[#This Row],[W1]:[W6]])</f>
        <v>0.29929953307871832</v>
      </c>
    </row>
    <row r="4" spans="1:10" x14ac:dyDescent="0.25">
      <c r="A4" s="1" t="s">
        <v>0</v>
      </c>
      <c r="B4">
        <v>1.7999999999999999E-2</v>
      </c>
      <c r="C4" s="2">
        <v>0.18231600000000001</v>
      </c>
      <c r="D4">
        <v>0.34936099999999998</v>
      </c>
      <c r="E4">
        <v>0.52654900000000004</v>
      </c>
      <c r="F4">
        <v>0.70453299999999996</v>
      </c>
      <c r="G4">
        <v>0.87759399999999999</v>
      </c>
      <c r="H4">
        <v>1.0557000000000001</v>
      </c>
      <c r="I4" s="2">
        <f>AVERAGE(wOver[[#This Row],[W1]:[W6]])</f>
        <v>0.61600883333333334</v>
      </c>
      <c r="J4">
        <f>_xlfn.STDEV.P(wOver[[#This Row],[W1]:[W6]])</f>
        <v>0.29910568144465638</v>
      </c>
    </row>
    <row r="5" spans="1:10" x14ac:dyDescent="0.25">
      <c r="A5" s="1" t="s">
        <v>0</v>
      </c>
      <c r="B5">
        <v>3.1E-2</v>
      </c>
      <c r="C5" s="2">
        <v>0.17452000000000001</v>
      </c>
      <c r="D5">
        <v>0.35364400000000001</v>
      </c>
      <c r="E5">
        <v>0.52570799999999995</v>
      </c>
      <c r="F5">
        <v>0.70879000000000003</v>
      </c>
      <c r="G5">
        <v>0.87988</v>
      </c>
      <c r="H5">
        <v>1.0536700000000001</v>
      </c>
      <c r="I5" s="2">
        <f>AVERAGE(wOver[[#This Row],[W1]:[W6]])</f>
        <v>0.61603533333333338</v>
      </c>
      <c r="J5">
        <f>_xlfn.STDEV.P(wOver[[#This Row],[W1]:[W6]])</f>
        <v>0.3004678480606906</v>
      </c>
    </row>
    <row r="6" spans="1:10" x14ac:dyDescent="0.25">
      <c r="A6" s="1" t="s">
        <v>0</v>
      </c>
      <c r="B6">
        <v>5.6000000000000001E-2</v>
      </c>
      <c r="C6" s="2">
        <v>0.69967900000000005</v>
      </c>
      <c r="D6">
        <v>1.05372</v>
      </c>
      <c r="E6">
        <v>0.87165300000000001</v>
      </c>
      <c r="F6">
        <v>0.17733099999999999</v>
      </c>
      <c r="G6">
        <v>0.36251699999999998</v>
      </c>
      <c r="H6">
        <v>0.537605</v>
      </c>
      <c r="I6" s="2">
        <f>AVERAGE(wOver[[#This Row],[W1]:[W6]])</f>
        <v>0.61708416666666677</v>
      </c>
      <c r="J6">
        <f>_xlfn.STDEV.P(wOver[[#This Row],[W1]:[W6]])</f>
        <v>0.29630566318719836</v>
      </c>
    </row>
    <row r="7" spans="1:10" x14ac:dyDescent="0.25">
      <c r="A7" s="1" t="s">
        <v>0</v>
      </c>
      <c r="B7">
        <v>0.1</v>
      </c>
      <c r="C7" s="2">
        <v>0.193387</v>
      </c>
      <c r="D7">
        <v>0.56056600000000001</v>
      </c>
      <c r="E7">
        <v>1.0916300000000001</v>
      </c>
      <c r="F7">
        <v>0.91357999999999995</v>
      </c>
      <c r="G7">
        <v>0.36939</v>
      </c>
      <c r="H7">
        <v>0.75455300000000003</v>
      </c>
      <c r="I7" s="2">
        <f>AVERAGE(wOver[[#This Row],[W1]:[W6]])</f>
        <v>0.64718433333333336</v>
      </c>
      <c r="J7">
        <f>_xlfn.STDEV.P(wOver[[#This Row],[W1]:[W6]])</f>
        <v>0.30839127729269872</v>
      </c>
    </row>
    <row r="8" spans="1:10" x14ac:dyDescent="0.25">
      <c r="A8" s="1" t="s">
        <v>0</v>
      </c>
      <c r="B8">
        <v>0.18</v>
      </c>
      <c r="C8" s="2">
        <v>0.15540499999999999</v>
      </c>
      <c r="D8">
        <v>0.32349899999999998</v>
      </c>
      <c r="E8">
        <v>0.49659399999999998</v>
      </c>
      <c r="F8">
        <v>0.69867900000000005</v>
      </c>
      <c r="G8">
        <v>0.84475299999999998</v>
      </c>
      <c r="H8">
        <v>1.03078</v>
      </c>
      <c r="I8" s="2">
        <f>AVERAGE(wOver[[#This Row],[W1]:[W6]])</f>
        <v>0.59161833333333336</v>
      </c>
      <c r="J8">
        <f>_xlfn.STDEV.P(wOver[[#This Row],[W1]:[W6]])</f>
        <v>0.29988936523750803</v>
      </c>
    </row>
    <row r="9" spans="1:10" x14ac:dyDescent="0.25">
      <c r="A9" s="1" t="s">
        <v>0</v>
      </c>
      <c r="B9">
        <v>0.31</v>
      </c>
      <c r="C9" s="2">
        <v>0.51366100000000003</v>
      </c>
      <c r="D9">
        <v>1.11175</v>
      </c>
      <c r="E9">
        <v>0.60763500000000004</v>
      </c>
      <c r="F9">
        <v>0.84468799999999999</v>
      </c>
      <c r="G9">
        <v>0.406586</v>
      </c>
      <c r="H9">
        <v>0.77460499999999999</v>
      </c>
      <c r="I9" s="2">
        <f>AVERAGE(wOver[[#This Row],[W1]:[W6]])</f>
        <v>0.70982083333333346</v>
      </c>
      <c r="J9">
        <f>_xlfn.STDEV.P(wOver[[#This Row],[W1]:[W6]])</f>
        <v>0.23266756857758544</v>
      </c>
    </row>
    <row r="10" spans="1:10" x14ac:dyDescent="0.25">
      <c r="A10" s="1" t="s">
        <v>0</v>
      </c>
      <c r="B10">
        <v>0.56000000000000005</v>
      </c>
      <c r="C10" s="2">
        <v>0.219473</v>
      </c>
      <c r="D10">
        <v>0.68921200000000005</v>
      </c>
      <c r="E10">
        <v>0.30460100000000001</v>
      </c>
      <c r="F10">
        <v>0.53074600000000005</v>
      </c>
      <c r="G10">
        <v>0.88863599999999998</v>
      </c>
      <c r="H10">
        <v>1.01085</v>
      </c>
      <c r="I10" s="2">
        <f>AVERAGE(wOver[[#This Row],[W1]:[W6]])</f>
        <v>0.60725300000000004</v>
      </c>
      <c r="J10">
        <f>_xlfn.STDEV.P(wOver[[#This Row],[W1]:[W6]])</f>
        <v>0.28769459829594746</v>
      </c>
    </row>
    <row r="11" spans="1:10" x14ac:dyDescent="0.25">
      <c r="A11" s="1" t="s">
        <v>0</v>
      </c>
      <c r="B11">
        <v>1</v>
      </c>
      <c r="C11" s="2">
        <v>0.73322299999999996</v>
      </c>
      <c r="D11">
        <v>1.1899200000000001</v>
      </c>
      <c r="E11">
        <v>1.00776</v>
      </c>
      <c r="F11">
        <v>1.0181</v>
      </c>
      <c r="G11">
        <v>1.0772600000000001</v>
      </c>
      <c r="H11">
        <v>0.83735499999999996</v>
      </c>
      <c r="I11" s="2">
        <f>AVERAGE(wOver[[#This Row],[W1]:[W6]])</f>
        <v>0.97726966666666659</v>
      </c>
      <c r="J11">
        <f>_xlfn.STDEV.P(wOver[[#This Row],[W1]:[W6]])</f>
        <v>0.15107939250238248</v>
      </c>
    </row>
    <row r="12" spans="1:10" x14ac:dyDescent="0.25">
      <c r="A12" s="1" t="s">
        <v>1</v>
      </c>
      <c r="B12">
        <v>0</v>
      </c>
      <c r="C12" s="2">
        <v>0.17549899999999999</v>
      </c>
      <c r="D12">
        <v>0.35064499999999998</v>
      </c>
      <c r="E12">
        <v>0.70081800000000005</v>
      </c>
      <c r="F12">
        <v>0.52573400000000003</v>
      </c>
      <c r="G12">
        <v>0.87589600000000001</v>
      </c>
      <c r="H12">
        <v>1.0509900000000001</v>
      </c>
      <c r="I12" s="2">
        <f>AVERAGE(wOver[[#This Row],[W1]:[W6]])</f>
        <v>0.61326366666666665</v>
      </c>
      <c r="J12">
        <f>_xlfn.STDEV.P(wOver[[#This Row],[W1]:[W6]])</f>
        <v>0.299030031017325</v>
      </c>
    </row>
    <row r="13" spans="1:10" x14ac:dyDescent="0.25">
      <c r="A13" s="1" t="s">
        <v>1</v>
      </c>
      <c r="B13">
        <v>0.01</v>
      </c>
      <c r="C13" s="2">
        <v>0.17249900000000001</v>
      </c>
      <c r="D13">
        <v>0.34750500000000001</v>
      </c>
      <c r="E13">
        <v>0.52458800000000005</v>
      </c>
      <c r="F13">
        <v>0.69964300000000001</v>
      </c>
      <c r="G13">
        <v>0.87473599999999996</v>
      </c>
      <c r="H13">
        <v>1.04779</v>
      </c>
      <c r="I13" s="2">
        <f>AVERAGE(wOver[[#This Row],[W1]:[W6]])</f>
        <v>0.6111268333333334</v>
      </c>
      <c r="J13">
        <f>_xlfn.STDEV.P(wOver[[#This Row],[W1]:[W6]])</f>
        <v>0.29927118206704356</v>
      </c>
    </row>
    <row r="14" spans="1:10" x14ac:dyDescent="0.25">
      <c r="A14" s="1" t="s">
        <v>1</v>
      </c>
      <c r="B14">
        <v>1.7999999999999999E-2</v>
      </c>
      <c r="C14" s="2">
        <v>0.52656199999999997</v>
      </c>
      <c r="D14">
        <v>0.182397</v>
      </c>
      <c r="E14">
        <v>0.34949999999999998</v>
      </c>
      <c r="F14">
        <v>0.70468600000000003</v>
      </c>
      <c r="G14">
        <v>0.87766299999999997</v>
      </c>
      <c r="H14">
        <v>1.05576</v>
      </c>
      <c r="I14" s="2">
        <f>AVERAGE(wOver[[#This Row],[W1]:[W6]])</f>
        <v>0.61609466666666668</v>
      </c>
      <c r="J14">
        <f>_xlfn.STDEV.P(wOver[[#This Row],[W1]:[W6]])</f>
        <v>0.29909711450946636</v>
      </c>
    </row>
    <row r="15" spans="1:10" x14ac:dyDescent="0.25">
      <c r="A15" s="1" t="s">
        <v>1</v>
      </c>
      <c r="B15">
        <v>3.1E-2</v>
      </c>
      <c r="C15" s="2">
        <v>0.52546800000000005</v>
      </c>
      <c r="D15">
        <v>0.70864199999999999</v>
      </c>
      <c r="E15">
        <v>0.87958199999999997</v>
      </c>
      <c r="F15">
        <v>0.35354799999999997</v>
      </c>
      <c r="G15">
        <v>0.17439099999999999</v>
      </c>
      <c r="H15">
        <v>1.05061</v>
      </c>
      <c r="I15" s="2">
        <f>AVERAGE(wOver[[#This Row],[W1]:[W6]])</f>
        <v>0.61537350000000002</v>
      </c>
      <c r="J15">
        <f>_xlfn.STDEV.P(wOver[[#This Row],[W1]:[W6]])</f>
        <v>0.29973241182302945</v>
      </c>
    </row>
    <row r="16" spans="1:10" x14ac:dyDescent="0.25">
      <c r="A16" s="1" t="s">
        <v>1</v>
      </c>
      <c r="B16">
        <v>5.6000000000000001E-2</v>
      </c>
      <c r="C16" s="2">
        <v>0.53762799999999999</v>
      </c>
      <c r="D16">
        <v>0.36257299999999998</v>
      </c>
      <c r="E16">
        <v>1.05383</v>
      </c>
      <c r="F16">
        <v>0.17743400000000001</v>
      </c>
      <c r="G16">
        <v>0.69966899999999999</v>
      </c>
      <c r="H16">
        <v>0.87177700000000002</v>
      </c>
      <c r="I16" s="2">
        <f>AVERAGE(wOver[[#This Row],[W1]:[W6]])</f>
        <v>0.61715183333333334</v>
      </c>
      <c r="J16">
        <f>_xlfn.STDEV.P(wOver[[#This Row],[W1]:[W6]])</f>
        <v>0.29631544985562064</v>
      </c>
    </row>
    <row r="17" spans="1:10" x14ac:dyDescent="0.25">
      <c r="A17" s="1" t="s">
        <v>1</v>
      </c>
      <c r="B17">
        <v>0.1</v>
      </c>
      <c r="C17" s="2">
        <v>0.36954399999999998</v>
      </c>
      <c r="D17">
        <v>0.56072100000000002</v>
      </c>
      <c r="E17">
        <v>0.75465899999999997</v>
      </c>
      <c r="F17">
        <v>1.09171</v>
      </c>
      <c r="G17">
        <v>0.193356</v>
      </c>
      <c r="H17">
        <v>0.91369900000000004</v>
      </c>
      <c r="I17" s="2">
        <f>AVERAGE(wOver[[#This Row],[W1]:[W6]])</f>
        <v>0.64728150000000007</v>
      </c>
      <c r="J17">
        <f>_xlfn.STDEV.P(wOver[[#This Row],[W1]:[W6]])</f>
        <v>0.3084110087857595</v>
      </c>
    </row>
    <row r="18" spans="1:10" x14ac:dyDescent="0.25">
      <c r="A18" s="1" t="s">
        <v>1</v>
      </c>
      <c r="B18">
        <v>0.18</v>
      </c>
      <c r="C18" s="2">
        <v>0.15548699999999999</v>
      </c>
      <c r="D18">
        <v>0.323519</v>
      </c>
      <c r="E18">
        <v>0.6986</v>
      </c>
      <c r="F18">
        <v>0.49651600000000001</v>
      </c>
      <c r="G18">
        <v>0.84456799999999999</v>
      </c>
      <c r="H18">
        <v>1.03061</v>
      </c>
      <c r="I18" s="2">
        <f>AVERAGE(wOver[[#This Row],[W1]:[W6]])</f>
        <v>0.59154999999999991</v>
      </c>
      <c r="J18">
        <f>_xlfn.STDEV.P(wOver[[#This Row],[W1]:[W6]])</f>
        <v>0.2997984079649747</v>
      </c>
    </row>
    <row r="19" spans="1:10" x14ac:dyDescent="0.25">
      <c r="A19" s="1" t="s">
        <v>1</v>
      </c>
      <c r="B19">
        <v>0.31</v>
      </c>
      <c r="C19" s="2">
        <v>0.50928799999999996</v>
      </c>
      <c r="D19">
        <v>0.406582</v>
      </c>
      <c r="E19">
        <v>0.60774600000000001</v>
      </c>
      <c r="F19">
        <v>0.77468400000000004</v>
      </c>
      <c r="G19">
        <v>0.84474300000000002</v>
      </c>
      <c r="H19">
        <v>1.1117999999999999</v>
      </c>
      <c r="I19" s="2">
        <f>AVERAGE(wOver[[#This Row],[W1]:[W6]])</f>
        <v>0.70914050000000006</v>
      </c>
      <c r="J19">
        <f>_xlfn.STDEV.P(wOver[[#This Row],[W1]:[W6]])</f>
        <v>0.23330315530353046</v>
      </c>
    </row>
    <row r="20" spans="1:10" x14ac:dyDescent="0.25">
      <c r="A20" s="1" t="s">
        <v>1</v>
      </c>
      <c r="B20">
        <v>0.56000000000000005</v>
      </c>
      <c r="C20" s="2">
        <v>0.21939600000000001</v>
      </c>
      <c r="D20">
        <v>0.30452400000000002</v>
      </c>
      <c r="E20">
        <v>0.67283899999999996</v>
      </c>
      <c r="F20">
        <v>0.53067399999999998</v>
      </c>
      <c r="G20">
        <v>0.88543300000000003</v>
      </c>
      <c r="H20">
        <v>1.0107600000000001</v>
      </c>
      <c r="I20" s="2">
        <f>AVERAGE(wOver[[#This Row],[W1]:[W6]])</f>
        <v>0.60393766666666659</v>
      </c>
      <c r="J20">
        <f>_xlfn.STDEV.P(wOver[[#This Row],[W1]:[W6]])</f>
        <v>0.28646693508016291</v>
      </c>
    </row>
    <row r="21" spans="1:10" x14ac:dyDescent="0.25">
      <c r="A21" s="1" t="s">
        <v>1</v>
      </c>
      <c r="B21">
        <v>1</v>
      </c>
      <c r="C21" s="2">
        <v>0.77675000000000005</v>
      </c>
      <c r="D21">
        <v>1.12256</v>
      </c>
      <c r="E21">
        <v>1.0467299999999999</v>
      </c>
      <c r="F21">
        <v>1.1716500000000001</v>
      </c>
      <c r="G21">
        <v>1.01783</v>
      </c>
      <c r="H21">
        <v>0.86710399999999999</v>
      </c>
      <c r="I21" s="2">
        <f>AVERAGE(wOver[[#This Row],[W1]:[W6]])</f>
        <v>1.0004373333333334</v>
      </c>
      <c r="J21">
        <f>_xlfn.STDEV.P(wOver[[#This Row],[W1]:[W6]])</f>
        <v>0.13813462011948918</v>
      </c>
    </row>
    <row r="22" spans="1:10" x14ac:dyDescent="0.25">
      <c r="A22" s="1" t="s">
        <v>2</v>
      </c>
      <c r="B22">
        <v>0</v>
      </c>
      <c r="C22" s="2">
        <v>0.35079700000000003</v>
      </c>
      <c r="D22">
        <v>0.52587300000000003</v>
      </c>
      <c r="E22">
        <v>0.70084500000000005</v>
      </c>
      <c r="F22">
        <v>0.87566200000000005</v>
      </c>
      <c r="G22">
        <v>0.175682</v>
      </c>
      <c r="H22">
        <v>1.0507299999999999</v>
      </c>
      <c r="I22" s="2">
        <f>AVERAGE(wOver[[#This Row],[W1]:[W6]])</f>
        <v>0.61326483333333337</v>
      </c>
      <c r="J22">
        <f>_xlfn.STDEV.P(wOver[[#This Row],[W1]:[W6]])</f>
        <v>0.29885999029948052</v>
      </c>
    </row>
    <row r="23" spans="1:10" x14ac:dyDescent="0.25">
      <c r="A23" s="1" t="s">
        <v>2</v>
      </c>
      <c r="B23">
        <v>0.01</v>
      </c>
      <c r="C23" s="2">
        <v>0.172621</v>
      </c>
      <c r="D23">
        <v>0.34777599999999997</v>
      </c>
      <c r="E23">
        <v>0.69981700000000002</v>
      </c>
      <c r="F23">
        <v>0.52474699999999996</v>
      </c>
      <c r="G23">
        <v>1.04786</v>
      </c>
      <c r="H23">
        <v>0.87477300000000002</v>
      </c>
      <c r="I23" s="2">
        <f>AVERAGE(wOver[[#This Row],[W1]:[W6]])</f>
        <v>0.61126566666666671</v>
      </c>
      <c r="J23">
        <f>_xlfn.STDEV.P(wOver[[#This Row],[W1]:[W6]])</f>
        <v>0.29922496914844665</v>
      </c>
    </row>
    <row r="24" spans="1:10" x14ac:dyDescent="0.25">
      <c r="A24" s="1" t="s">
        <v>2</v>
      </c>
      <c r="B24">
        <v>1.7999999999999999E-2</v>
      </c>
      <c r="C24" s="2">
        <v>0.182674</v>
      </c>
      <c r="D24">
        <v>0.52693000000000001</v>
      </c>
      <c r="E24">
        <v>0.349829</v>
      </c>
      <c r="F24">
        <v>0.87810100000000002</v>
      </c>
      <c r="G24">
        <v>0.70505300000000004</v>
      </c>
      <c r="H24">
        <v>1.05616</v>
      </c>
      <c r="I24" s="2">
        <f>AVERAGE(wOver[[#This Row],[W1]:[W6]])</f>
        <v>0.61645783333333337</v>
      </c>
      <c r="J24">
        <f>_xlfn.STDEV.P(wOver[[#This Row],[W1]:[W6]])</f>
        <v>0.29914289432723001</v>
      </c>
    </row>
    <row r="25" spans="1:10" x14ac:dyDescent="0.25">
      <c r="A25" s="1" t="s">
        <v>2</v>
      </c>
      <c r="B25">
        <v>3.1E-2</v>
      </c>
      <c r="C25" s="2">
        <v>0.17477599999999999</v>
      </c>
      <c r="D25">
        <v>0.35392099999999999</v>
      </c>
      <c r="E25">
        <v>0.52601399999999998</v>
      </c>
      <c r="F25">
        <v>0.70899800000000002</v>
      </c>
      <c r="G25">
        <v>0.88009599999999999</v>
      </c>
      <c r="H25">
        <v>1.05114</v>
      </c>
      <c r="I25" s="2">
        <f>AVERAGE(wOver[[#This Row],[W1]:[W6]])</f>
        <v>0.61582416666666662</v>
      </c>
      <c r="J25">
        <f>_xlfn.STDEV.P(wOver[[#This Row],[W1]:[W6]])</f>
        <v>0.29977865721473951</v>
      </c>
    </row>
    <row r="26" spans="1:10" x14ac:dyDescent="0.25">
      <c r="A26" s="1" t="s">
        <v>2</v>
      </c>
      <c r="B26">
        <v>5.6000000000000001E-2</v>
      </c>
      <c r="C26" s="2">
        <v>0.17769799999999999</v>
      </c>
      <c r="D26">
        <v>0.871896</v>
      </c>
      <c r="E26">
        <v>0.36268899999999998</v>
      </c>
      <c r="F26">
        <v>0.53773800000000005</v>
      </c>
      <c r="G26">
        <v>0.69984100000000005</v>
      </c>
      <c r="H26">
        <v>1.05403</v>
      </c>
      <c r="I26" s="2">
        <f>AVERAGE(wOver[[#This Row],[W1]:[W6]])</f>
        <v>0.61731533333333333</v>
      </c>
      <c r="J26">
        <f>_xlfn.STDEV.P(wOver[[#This Row],[W1]:[W6]])</f>
        <v>0.29630277953340611</v>
      </c>
    </row>
    <row r="27" spans="1:10" x14ac:dyDescent="0.25">
      <c r="A27" s="1" t="s">
        <v>2</v>
      </c>
      <c r="B27">
        <v>0.1</v>
      </c>
      <c r="C27" s="2">
        <v>0.19361500000000001</v>
      </c>
      <c r="D27">
        <v>0.36976799999999999</v>
      </c>
      <c r="E27">
        <v>0.56071899999999997</v>
      </c>
      <c r="F27">
        <v>0.75483699999999998</v>
      </c>
      <c r="G27">
        <v>0.91388599999999998</v>
      </c>
      <c r="H27">
        <v>1.0919099999999999</v>
      </c>
      <c r="I27" s="2">
        <f>AVERAGE(wOver[[#This Row],[W1]:[W6]])</f>
        <v>0.64745583333333323</v>
      </c>
      <c r="J27">
        <f>_xlfn.STDEV.P(wOver[[#This Row],[W1]:[W6]])</f>
        <v>0.30839924555972187</v>
      </c>
    </row>
    <row r="28" spans="1:10" x14ac:dyDescent="0.25">
      <c r="A28" s="1" t="s">
        <v>2</v>
      </c>
      <c r="B28">
        <v>0.18</v>
      </c>
      <c r="C28" s="2">
        <v>0.15561900000000001</v>
      </c>
      <c r="D28">
        <v>0.32377699999999998</v>
      </c>
      <c r="E28">
        <v>0.49692500000000001</v>
      </c>
      <c r="F28">
        <v>0.698932</v>
      </c>
      <c r="G28">
        <v>0.84495900000000002</v>
      </c>
      <c r="H28">
        <v>1.03101</v>
      </c>
      <c r="I28" s="2">
        <f>AVERAGE(wOver[[#This Row],[W1]:[W6]])</f>
        <v>0.59187033333333339</v>
      </c>
      <c r="J28">
        <f>_xlfn.STDEV.P(wOver[[#This Row],[W1]:[W6]])</f>
        <v>0.29987875273164799</v>
      </c>
    </row>
    <row r="29" spans="1:10" x14ac:dyDescent="0.25">
      <c r="A29" s="1" t="s">
        <v>2</v>
      </c>
      <c r="B29">
        <v>0.31</v>
      </c>
      <c r="C29" s="2">
        <v>0.406779</v>
      </c>
      <c r="D29">
        <v>0.84517900000000001</v>
      </c>
      <c r="E29">
        <v>0.51975300000000002</v>
      </c>
      <c r="F29">
        <v>0.77503900000000003</v>
      </c>
      <c r="G29">
        <v>0.60794999999999999</v>
      </c>
      <c r="H29">
        <v>1.1122300000000001</v>
      </c>
      <c r="I29" s="2">
        <f>AVERAGE(wOver[[#This Row],[W1]:[W6]])</f>
        <v>0.71115500000000009</v>
      </c>
      <c r="J29">
        <f>_xlfn.STDEV.P(wOver[[#This Row],[W1]:[W6]])</f>
        <v>0.23196102426269793</v>
      </c>
    </row>
    <row r="30" spans="1:10" x14ac:dyDescent="0.25">
      <c r="A30" s="1" t="s">
        <v>2</v>
      </c>
      <c r="B30">
        <v>0.56000000000000005</v>
      </c>
      <c r="C30" s="2">
        <v>0.69691999999999998</v>
      </c>
      <c r="D30">
        <v>0.53066500000000005</v>
      </c>
      <c r="E30">
        <v>1.0289299999999999</v>
      </c>
      <c r="F30">
        <v>0.21949299999999999</v>
      </c>
      <c r="G30">
        <v>0.30457000000000001</v>
      </c>
      <c r="H30">
        <v>0.92057800000000001</v>
      </c>
      <c r="I30" s="2">
        <f>AVERAGE(wOver[[#This Row],[W1]:[W6]])</f>
        <v>0.61685933333333332</v>
      </c>
      <c r="J30">
        <f>_xlfn.STDEV.P(wOver[[#This Row],[W1]:[W6]])</f>
        <v>0.29757661949917302</v>
      </c>
    </row>
    <row r="31" spans="1:10" x14ac:dyDescent="0.25">
      <c r="A31" s="1" t="s">
        <v>2</v>
      </c>
      <c r="B31">
        <v>1</v>
      </c>
      <c r="C31" s="2">
        <v>1.04132</v>
      </c>
      <c r="D31">
        <v>1.19032</v>
      </c>
      <c r="E31">
        <v>1.13994</v>
      </c>
      <c r="F31">
        <v>1.01773</v>
      </c>
      <c r="G31">
        <v>0.77506799999999998</v>
      </c>
      <c r="H31">
        <v>0.79488899999999996</v>
      </c>
      <c r="I31" s="2">
        <f>AVERAGE(wOver[[#This Row],[W1]:[W6]])</f>
        <v>0.99321116666666676</v>
      </c>
      <c r="J31">
        <f>_xlfn.STDEV.P(wOver[[#This Row],[W1]:[W6]])</f>
        <v>0.15822715669612047</v>
      </c>
    </row>
    <row r="32" spans="1:10" x14ac:dyDescent="0.25">
      <c r="A32" s="1" t="s">
        <v>3</v>
      </c>
      <c r="B32">
        <v>0</v>
      </c>
      <c r="C32" s="2">
        <v>0.17569799999999999</v>
      </c>
      <c r="D32">
        <v>0.35084100000000001</v>
      </c>
      <c r="E32">
        <v>0.52582799999999996</v>
      </c>
      <c r="F32">
        <v>0.87586399999999998</v>
      </c>
      <c r="G32">
        <v>0.70086499999999996</v>
      </c>
      <c r="H32">
        <v>1.0509299999999999</v>
      </c>
      <c r="I32" s="2">
        <f>AVERAGE(wOver[[#This Row],[W1]:[W6]])</f>
        <v>0.61333766666666667</v>
      </c>
      <c r="J32">
        <f>_xlfn.STDEV.P(wOver[[#This Row],[W1]:[W6]])</f>
        <v>0.29893117367752436</v>
      </c>
    </row>
    <row r="33" spans="1:10" x14ac:dyDescent="0.25">
      <c r="A33" s="1" t="s">
        <v>3</v>
      </c>
      <c r="B33">
        <v>0.01</v>
      </c>
      <c r="C33" s="2">
        <v>0.17266699999999999</v>
      </c>
      <c r="D33">
        <v>0.34775800000000001</v>
      </c>
      <c r="E33">
        <v>0.52481299999999997</v>
      </c>
      <c r="F33">
        <v>0.699824</v>
      </c>
      <c r="G33">
        <v>0.87488200000000005</v>
      </c>
      <c r="H33">
        <v>1.04783</v>
      </c>
      <c r="I33" s="2">
        <f>AVERAGE(wOver[[#This Row],[W1]:[W6]])</f>
        <v>0.61129566666666657</v>
      </c>
      <c r="J33">
        <f>_xlfn.STDEV.P(wOver[[#This Row],[W1]:[W6]])</f>
        <v>0.29922224341040488</v>
      </c>
    </row>
    <row r="34" spans="1:10" x14ac:dyDescent="0.25">
      <c r="A34" s="1" t="s">
        <v>3</v>
      </c>
      <c r="B34">
        <v>1.7999999999999999E-2</v>
      </c>
      <c r="C34" s="2">
        <v>0.182644</v>
      </c>
      <c r="D34">
        <v>0.87806200000000001</v>
      </c>
      <c r="E34">
        <v>0.52685099999999996</v>
      </c>
      <c r="F34">
        <v>0.70500099999999999</v>
      </c>
      <c r="G34">
        <v>0.34976499999999999</v>
      </c>
      <c r="H34">
        <v>1.0561</v>
      </c>
      <c r="I34" s="2">
        <f>AVERAGE(wOver[[#This Row],[W1]:[W6]])</f>
        <v>0.61640383333333337</v>
      </c>
      <c r="J34">
        <f>_xlfn.STDEV.P(wOver[[#This Row],[W1]:[W6]])</f>
        <v>0.29914064237379295</v>
      </c>
    </row>
    <row r="35" spans="1:10" x14ac:dyDescent="0.25">
      <c r="A35" s="1" t="s">
        <v>3</v>
      </c>
      <c r="B35">
        <v>3.1E-2</v>
      </c>
      <c r="C35" s="2">
        <v>0.17458699999999999</v>
      </c>
      <c r="D35">
        <v>0.35373599999999999</v>
      </c>
      <c r="E35">
        <v>0.52588100000000004</v>
      </c>
      <c r="F35">
        <v>0.70886000000000005</v>
      </c>
      <c r="G35">
        <v>0.87992599999999999</v>
      </c>
      <c r="H35">
        <v>1.05101</v>
      </c>
      <c r="I35" s="2">
        <f>AVERAGE(wOver[[#This Row],[W1]:[W6]])</f>
        <v>0.6156666666666667</v>
      </c>
      <c r="J35">
        <f>_xlfn.STDEV.P(wOver[[#This Row],[W1]:[W6]])</f>
        <v>0.2997949918792655</v>
      </c>
    </row>
    <row r="36" spans="1:10" x14ac:dyDescent="0.25">
      <c r="A36" s="1" t="s">
        <v>3</v>
      </c>
      <c r="B36">
        <v>5.6000000000000001E-2</v>
      </c>
      <c r="C36" s="2">
        <v>0.36272500000000002</v>
      </c>
      <c r="D36">
        <v>0.17768400000000001</v>
      </c>
      <c r="E36">
        <v>0.53788400000000003</v>
      </c>
      <c r="F36">
        <v>0.69986300000000001</v>
      </c>
      <c r="G36">
        <v>0.87185699999999999</v>
      </c>
      <c r="H36">
        <v>1.0539799999999999</v>
      </c>
      <c r="I36" s="2">
        <f>AVERAGE(wOver[[#This Row],[W1]:[W6]])</f>
        <v>0.61733216666666657</v>
      </c>
      <c r="J36">
        <f>_xlfn.STDEV.P(wOver[[#This Row],[W1]:[W6]])</f>
        <v>0.29627771053153079</v>
      </c>
    </row>
    <row r="37" spans="1:10" x14ac:dyDescent="0.25">
      <c r="A37" s="1" t="s">
        <v>3</v>
      </c>
      <c r="B37">
        <v>0.1</v>
      </c>
      <c r="C37" s="2">
        <v>0.193715</v>
      </c>
      <c r="D37">
        <v>0.36952499999999999</v>
      </c>
      <c r="E37">
        <v>0.56078099999999997</v>
      </c>
      <c r="F37">
        <v>0.75484799999999996</v>
      </c>
      <c r="G37">
        <v>0.91389399999999998</v>
      </c>
      <c r="H37">
        <v>1.09198</v>
      </c>
      <c r="I37" s="2">
        <f>AVERAGE(wOver[[#This Row],[W1]:[W6]])</f>
        <v>0.64745716666666664</v>
      </c>
      <c r="J37">
        <f>_xlfn.STDEV.P(wOver[[#This Row],[W1]:[W6]])</f>
        <v>0.30842690315611615</v>
      </c>
    </row>
    <row r="38" spans="1:10" x14ac:dyDescent="0.25">
      <c r="A38" s="1" t="s">
        <v>3</v>
      </c>
      <c r="B38">
        <v>0.18</v>
      </c>
      <c r="C38" s="2">
        <v>0.69867599999999996</v>
      </c>
      <c r="D38">
        <v>1.0308600000000001</v>
      </c>
      <c r="E38">
        <v>0.844804</v>
      </c>
      <c r="F38">
        <v>0.15556700000000001</v>
      </c>
      <c r="G38">
        <v>0.32374199999999997</v>
      </c>
      <c r="H38">
        <v>0.49672100000000002</v>
      </c>
      <c r="I38" s="2">
        <f>AVERAGE(wOver[[#This Row],[W1]:[W6]])</f>
        <v>0.5917283333333333</v>
      </c>
      <c r="J38">
        <f>_xlfn.STDEV.P(wOver[[#This Row],[W1]:[W6]])</f>
        <v>0.29983370226102929</v>
      </c>
    </row>
    <row r="39" spans="1:10" x14ac:dyDescent="0.25">
      <c r="A39" s="1" t="s">
        <v>3</v>
      </c>
      <c r="B39">
        <v>0.31</v>
      </c>
      <c r="C39" s="2">
        <v>0.60778600000000005</v>
      </c>
      <c r="D39">
        <v>0.84492599999999995</v>
      </c>
      <c r="E39">
        <v>1.11202</v>
      </c>
      <c r="F39">
        <v>0.40678599999999998</v>
      </c>
      <c r="G39">
        <v>0.52447900000000003</v>
      </c>
      <c r="H39">
        <v>0.77491200000000005</v>
      </c>
      <c r="I39" s="2">
        <f>AVERAGE(wOver[[#This Row],[W1]:[W6]])</f>
        <v>0.71181816666666664</v>
      </c>
      <c r="J39">
        <f>_xlfn.STDEV.P(wOver[[#This Row],[W1]:[W6]])</f>
        <v>0.23123700405746536</v>
      </c>
    </row>
    <row r="40" spans="1:10" x14ac:dyDescent="0.25">
      <c r="A40" s="1" t="s">
        <v>3</v>
      </c>
      <c r="B40">
        <v>0.56000000000000005</v>
      </c>
      <c r="C40" s="2">
        <v>0.53107400000000005</v>
      </c>
      <c r="D40">
        <v>0.21965899999999999</v>
      </c>
      <c r="E40">
        <v>0.65822599999999998</v>
      </c>
      <c r="F40">
        <v>0.30486600000000003</v>
      </c>
      <c r="G40">
        <v>0.91388400000000003</v>
      </c>
      <c r="H40">
        <v>1.01128</v>
      </c>
      <c r="I40" s="2">
        <f>AVERAGE(wOver[[#This Row],[W1]:[W6]])</f>
        <v>0.60649816666666678</v>
      </c>
      <c r="J40">
        <f>_xlfn.STDEV.P(wOver[[#This Row],[W1]:[W6]])</f>
        <v>0.29078212394185915</v>
      </c>
    </row>
    <row r="41" spans="1:10" x14ac:dyDescent="0.25">
      <c r="A41" s="1" t="s">
        <v>3</v>
      </c>
      <c r="B41">
        <v>1</v>
      </c>
      <c r="C41" s="2">
        <v>1.17832</v>
      </c>
      <c r="D41">
        <v>0.70157400000000003</v>
      </c>
      <c r="E41">
        <v>1.0419799999999999</v>
      </c>
      <c r="F41">
        <v>1.07361</v>
      </c>
      <c r="G41">
        <v>1.0181100000000001</v>
      </c>
      <c r="H41">
        <v>0.82489800000000002</v>
      </c>
      <c r="I41" s="2">
        <f>AVERAGE(wOver[[#This Row],[W1]:[W6]])</f>
        <v>0.97308199999999989</v>
      </c>
      <c r="J41">
        <f>_xlfn.STDEV.P(wOver[[#This Row],[W1]:[W6]])</f>
        <v>0.16056050912143227</v>
      </c>
    </row>
    <row r="42" spans="1:10" x14ac:dyDescent="0.25">
      <c r="A42" s="1" t="s">
        <v>4</v>
      </c>
      <c r="B42">
        <v>0</v>
      </c>
      <c r="C42" s="2">
        <v>0.52583999999999997</v>
      </c>
      <c r="D42">
        <v>1.05104</v>
      </c>
      <c r="E42">
        <v>1.22618</v>
      </c>
      <c r="F42">
        <v>0.70093099999999997</v>
      </c>
      <c r="G42">
        <v>0.87595800000000001</v>
      </c>
      <c r="H42">
        <v>1.4012100000000001</v>
      </c>
      <c r="I42" s="2">
        <f>AVERAGE(wOver[[#This Row],[W1]:[W6]])</f>
        <v>0.96352649999999995</v>
      </c>
      <c r="J42">
        <f>_xlfn.STDEV.P(wOver[[#This Row],[W1]:[W6]])</f>
        <v>0.29900012012581195</v>
      </c>
    </row>
    <row r="43" spans="1:10" x14ac:dyDescent="0.25">
      <c r="A43" s="1" t="s">
        <v>4</v>
      </c>
      <c r="B43">
        <v>0.01</v>
      </c>
      <c r="C43" s="2">
        <v>0.17236699999999999</v>
      </c>
      <c r="D43">
        <v>0.69969000000000003</v>
      </c>
      <c r="E43">
        <v>0.87479700000000005</v>
      </c>
      <c r="F43">
        <v>1.2190000000000001</v>
      </c>
      <c r="G43">
        <v>1.39205</v>
      </c>
      <c r="H43">
        <v>1.0478099999999999</v>
      </c>
      <c r="I43" s="2">
        <f>AVERAGE(wOver[[#This Row],[W1]:[W6]])</f>
        <v>0.90095233333333347</v>
      </c>
      <c r="J43">
        <f>_xlfn.STDEV.P(wOver[[#This Row],[W1]:[W6]])</f>
        <v>0.39495266108006188</v>
      </c>
    </row>
    <row r="44" spans="1:10" x14ac:dyDescent="0.25">
      <c r="A44" s="1" t="s">
        <v>4</v>
      </c>
      <c r="B44">
        <v>1.7999999999999999E-2</v>
      </c>
      <c r="C44" s="2">
        <v>0.34957199999999999</v>
      </c>
      <c r="D44">
        <v>0.52673499999999995</v>
      </c>
      <c r="E44">
        <v>1.22512</v>
      </c>
      <c r="F44">
        <v>0.70470200000000005</v>
      </c>
      <c r="G44">
        <v>1.0559700000000001</v>
      </c>
      <c r="H44">
        <v>1.3971499999999999</v>
      </c>
      <c r="I44" s="2">
        <f>AVERAGE(wOver[[#This Row],[W1]:[W6]])</f>
        <v>0.87654150000000008</v>
      </c>
      <c r="J44">
        <f>_xlfn.STDEV.P(wOver[[#This Row],[W1]:[W6]])</f>
        <v>0.3773426874605052</v>
      </c>
    </row>
    <row r="45" spans="1:10" x14ac:dyDescent="0.25">
      <c r="A45" s="1" t="s">
        <v>4</v>
      </c>
      <c r="B45">
        <v>3.1E-2</v>
      </c>
      <c r="C45" s="2">
        <v>0.17455000000000001</v>
      </c>
      <c r="D45">
        <v>0.35370200000000002</v>
      </c>
      <c r="E45">
        <v>0.52565600000000001</v>
      </c>
      <c r="F45">
        <v>0.87977300000000003</v>
      </c>
      <c r="G45">
        <v>1.0507599999999999</v>
      </c>
      <c r="H45">
        <v>1.2309300000000001</v>
      </c>
      <c r="I45" s="2">
        <f>AVERAGE(wOver[[#This Row],[W1]:[W6]])</f>
        <v>0.70256183333333333</v>
      </c>
      <c r="J45">
        <f>_xlfn.STDEV.P(wOver[[#This Row],[W1]:[W6]])</f>
        <v>0.37938855054961645</v>
      </c>
    </row>
    <row r="46" spans="1:10" x14ac:dyDescent="0.25">
      <c r="A46" s="1" t="s">
        <v>4</v>
      </c>
      <c r="B46">
        <v>5.6000000000000001E-2</v>
      </c>
      <c r="C46" s="2">
        <v>0.17732800000000001</v>
      </c>
      <c r="D46">
        <v>0.36255500000000002</v>
      </c>
      <c r="E46">
        <v>0.53762299999999996</v>
      </c>
      <c r="F46">
        <v>0.69977</v>
      </c>
      <c r="G46">
        <v>0.87183699999999997</v>
      </c>
      <c r="H46">
        <v>1.0538799999999999</v>
      </c>
      <c r="I46" s="2">
        <f>AVERAGE(wOver[[#This Row],[W1]:[W6]])</f>
        <v>0.61716549999999992</v>
      </c>
      <c r="J46">
        <f>_xlfn.STDEV.P(wOver[[#This Row],[W1]:[W6]])</f>
        <v>0.29637003145434593</v>
      </c>
    </row>
    <row r="47" spans="1:10" x14ac:dyDescent="0.25">
      <c r="A47" s="1" t="s">
        <v>4</v>
      </c>
      <c r="B47">
        <v>0.1</v>
      </c>
      <c r="C47" s="2">
        <v>0.19356599999999999</v>
      </c>
      <c r="D47">
        <v>0.91392300000000004</v>
      </c>
      <c r="E47">
        <v>1.0920799999999999</v>
      </c>
      <c r="F47">
        <v>1.2510699999999999</v>
      </c>
      <c r="G47">
        <v>1.4181299999999999</v>
      </c>
      <c r="H47">
        <v>1.5421899999999999</v>
      </c>
      <c r="I47" s="2">
        <f>AVERAGE(wOver[[#This Row],[W1]:[W6]])</f>
        <v>1.0684931666666666</v>
      </c>
      <c r="J47">
        <f>_xlfn.STDEV.P(wOver[[#This Row],[W1]:[W6]])</f>
        <v>0.44157195097077762</v>
      </c>
    </row>
    <row r="48" spans="1:10" x14ac:dyDescent="0.25">
      <c r="A48" s="1" t="s">
        <v>4</v>
      </c>
      <c r="B48">
        <v>0.18</v>
      </c>
      <c r="C48" s="2">
        <v>0.15545100000000001</v>
      </c>
      <c r="D48">
        <v>0.32357000000000002</v>
      </c>
      <c r="E48">
        <v>0.496699</v>
      </c>
      <c r="F48">
        <v>1.03087</v>
      </c>
      <c r="G48">
        <v>1.26901</v>
      </c>
      <c r="H48">
        <v>1.37205</v>
      </c>
      <c r="I48" s="2">
        <f>AVERAGE(wOver[[#This Row],[W1]:[W6]])</f>
        <v>0.77460833333333323</v>
      </c>
      <c r="J48">
        <f>_xlfn.STDEV.P(wOver[[#This Row],[W1]:[W6]])</f>
        <v>0.47100328625628746</v>
      </c>
    </row>
    <row r="49" spans="1:10" x14ac:dyDescent="0.25">
      <c r="A49" s="1" t="s">
        <v>4</v>
      </c>
      <c r="B49">
        <v>0.31</v>
      </c>
      <c r="C49" s="2">
        <v>0.34988200000000003</v>
      </c>
      <c r="D49">
        <v>0.406694</v>
      </c>
      <c r="E49">
        <v>0.60775500000000005</v>
      </c>
      <c r="F49">
        <v>0.77480499999999997</v>
      </c>
      <c r="G49">
        <v>0.84487000000000001</v>
      </c>
      <c r="H49">
        <v>1.11188</v>
      </c>
      <c r="I49" s="2">
        <f>AVERAGE(wOver[[#This Row],[W1]:[W6]])</f>
        <v>0.68264766666666665</v>
      </c>
      <c r="J49">
        <f>_xlfn.STDEV.P(wOver[[#This Row],[W1]:[W6]])</f>
        <v>0.26189749333067114</v>
      </c>
    </row>
    <row r="50" spans="1:10" x14ac:dyDescent="0.25">
      <c r="A50" s="1" t="s">
        <v>4</v>
      </c>
      <c r="B50">
        <v>0.56000000000000005</v>
      </c>
      <c r="C50" s="2">
        <v>0.35978500000000002</v>
      </c>
      <c r="D50">
        <v>0.53090899999999996</v>
      </c>
      <c r="E50">
        <v>0.66108900000000004</v>
      </c>
      <c r="F50">
        <v>1.0110699999999999</v>
      </c>
      <c r="G50">
        <v>1.4876</v>
      </c>
      <c r="H50">
        <v>1.4402999999999999</v>
      </c>
      <c r="I50" s="2">
        <f>AVERAGE(wOver[[#This Row],[W1]:[W6]])</f>
        <v>0.91512549999999981</v>
      </c>
      <c r="J50">
        <f>_xlfn.STDEV.P(wOver[[#This Row],[W1]:[W6]])</f>
        <v>0.43460721516205508</v>
      </c>
    </row>
    <row r="51" spans="1:10" x14ac:dyDescent="0.25">
      <c r="A51" s="1" t="s">
        <v>4</v>
      </c>
      <c r="B51">
        <v>1</v>
      </c>
      <c r="C51" s="2">
        <v>0.174623</v>
      </c>
      <c r="D51">
        <v>1.41384</v>
      </c>
      <c r="E51">
        <v>1.5081599999999999</v>
      </c>
      <c r="F51">
        <v>0.96536200000000005</v>
      </c>
      <c r="G51">
        <v>0.77172799999999997</v>
      </c>
      <c r="H51">
        <v>1.01789</v>
      </c>
      <c r="I51" s="2">
        <f>AVERAGE(wOver[[#This Row],[W1]:[W6]])</f>
        <v>0.97526716666666646</v>
      </c>
      <c r="J51">
        <f>_xlfn.STDEV.P(wOver[[#This Row],[W1]:[W6]])</f>
        <v>0.43982856398617309</v>
      </c>
    </row>
    <row r="52" spans="1:10" x14ac:dyDescent="0.25">
      <c r="A52" s="1" t="s">
        <v>5</v>
      </c>
      <c r="B52">
        <v>0</v>
      </c>
      <c r="C52" s="2">
        <v>0.17561299999999999</v>
      </c>
      <c r="D52">
        <v>1.2263999999999999</v>
      </c>
      <c r="E52">
        <v>1.40144</v>
      </c>
      <c r="F52">
        <v>1.57657</v>
      </c>
      <c r="G52">
        <v>1.7517</v>
      </c>
      <c r="H52">
        <v>1.92675</v>
      </c>
      <c r="I52" s="2">
        <f>AVERAGE(wOver[[#This Row],[W1]:[W6]])</f>
        <v>1.3430788333333334</v>
      </c>
      <c r="J52">
        <f>_xlfn.STDEV.P(wOver[[#This Row],[W1]:[W6]])</f>
        <v>0.56894022261874933</v>
      </c>
    </row>
    <row r="53" spans="1:10" x14ac:dyDescent="0.25">
      <c r="A53" s="1" t="s">
        <v>5</v>
      </c>
      <c r="B53">
        <v>0.01</v>
      </c>
      <c r="C53" s="2">
        <v>0.17230200000000001</v>
      </c>
      <c r="D53">
        <v>0.69977400000000001</v>
      </c>
      <c r="E53">
        <v>1.21926</v>
      </c>
      <c r="F53">
        <v>1.3922600000000001</v>
      </c>
      <c r="G53">
        <v>1.56525</v>
      </c>
      <c r="H53">
        <v>2.0905</v>
      </c>
      <c r="I53" s="2">
        <f>AVERAGE(wOver[[#This Row],[W1]:[W6]])</f>
        <v>1.189891</v>
      </c>
      <c r="J53">
        <f>_xlfn.STDEV.P(wOver[[#This Row],[W1]:[W6]])</f>
        <v>0.6150215100159776</v>
      </c>
    </row>
    <row r="54" spans="1:10" x14ac:dyDescent="0.25">
      <c r="A54" s="1" t="s">
        <v>5</v>
      </c>
      <c r="B54">
        <v>1.7999999999999999E-2</v>
      </c>
      <c r="C54" s="2">
        <v>0.52668700000000002</v>
      </c>
      <c r="D54">
        <v>0.87796600000000002</v>
      </c>
      <c r="E54">
        <v>1.0561100000000001</v>
      </c>
      <c r="F54">
        <v>1.2251799999999999</v>
      </c>
      <c r="G54">
        <v>1.57731</v>
      </c>
      <c r="H54">
        <v>1.93048</v>
      </c>
      <c r="I54" s="2">
        <f>AVERAGE(wOver[[#This Row],[W1]:[W6]])</f>
        <v>1.1989555000000001</v>
      </c>
      <c r="J54">
        <f>_xlfn.STDEV.P(wOver[[#This Row],[W1]:[W6]])</f>
        <v>0.45722933309290564</v>
      </c>
    </row>
    <row r="55" spans="1:10" x14ac:dyDescent="0.25">
      <c r="A55" s="1" t="s">
        <v>5</v>
      </c>
      <c r="B55">
        <v>3.1E-2</v>
      </c>
      <c r="C55" s="2">
        <v>0.52556499999999995</v>
      </c>
      <c r="D55">
        <v>0.879857</v>
      </c>
      <c r="E55">
        <v>1.0509999999999999</v>
      </c>
      <c r="F55">
        <v>1.23112</v>
      </c>
      <c r="G55">
        <v>1.5792600000000001</v>
      </c>
      <c r="H55">
        <v>1.9244300000000001</v>
      </c>
      <c r="I55" s="2">
        <f>AVERAGE(wOver[[#This Row],[W1]:[W6]])</f>
        <v>1.1985386666666666</v>
      </c>
      <c r="J55">
        <f>_xlfn.STDEV.P(wOver[[#This Row],[W1]:[W6]])</f>
        <v>0.45627983438589759</v>
      </c>
    </row>
    <row r="56" spans="1:10" x14ac:dyDescent="0.25">
      <c r="A56" s="1" t="s">
        <v>5</v>
      </c>
      <c r="B56">
        <v>5.6000000000000001E-2</v>
      </c>
      <c r="C56" s="2">
        <v>0.53985899999999998</v>
      </c>
      <c r="D56">
        <v>1.0561799999999999</v>
      </c>
      <c r="E56">
        <v>0.70198099999999997</v>
      </c>
      <c r="F56">
        <v>1.4125099999999999</v>
      </c>
      <c r="G56">
        <v>1.76867</v>
      </c>
      <c r="H56">
        <v>1.94567</v>
      </c>
      <c r="I56" s="2">
        <f>AVERAGE(wOver[[#This Row],[W1]:[W6]])</f>
        <v>1.2374783333333332</v>
      </c>
      <c r="J56">
        <f>_xlfn.STDEV.P(wOver[[#This Row],[W1]:[W6]])</f>
        <v>0.519717122052201</v>
      </c>
    </row>
    <row r="57" spans="1:10" x14ac:dyDescent="0.25">
      <c r="A57" s="1" t="s">
        <v>5</v>
      </c>
      <c r="B57">
        <v>0.1</v>
      </c>
      <c r="C57" s="2">
        <v>0.56089500000000003</v>
      </c>
      <c r="D57">
        <v>1.09219</v>
      </c>
      <c r="E57">
        <v>0.75498299999999996</v>
      </c>
      <c r="F57">
        <v>1.2513000000000001</v>
      </c>
      <c r="G57">
        <v>1.7275199999999999</v>
      </c>
      <c r="H57">
        <v>1.90561</v>
      </c>
      <c r="I57" s="2">
        <f>AVERAGE(wOver[[#This Row],[W1]:[W6]])</f>
        <v>1.2154163333333334</v>
      </c>
      <c r="J57">
        <f>_xlfn.STDEV.P(wOver[[#This Row],[W1]:[W6]])</f>
        <v>0.48226667241152887</v>
      </c>
    </row>
    <row r="58" spans="1:10" x14ac:dyDescent="0.25">
      <c r="A58" s="1" t="s">
        <v>5</v>
      </c>
      <c r="B58">
        <v>0.18</v>
      </c>
      <c r="C58" s="2">
        <v>0.32365300000000002</v>
      </c>
      <c r="D58">
        <v>1.26936</v>
      </c>
      <c r="E58">
        <v>1.3725099999999999</v>
      </c>
      <c r="F58">
        <v>1.5864400000000001</v>
      </c>
      <c r="G58">
        <v>1.0311600000000001</v>
      </c>
      <c r="H58">
        <v>1.90757</v>
      </c>
      <c r="I58" s="2">
        <f>AVERAGE(wOver[[#This Row],[W1]:[W6]])</f>
        <v>1.2484488333333335</v>
      </c>
      <c r="J58">
        <f>_xlfn.STDEV.P(wOver[[#This Row],[W1]:[W6]])</f>
        <v>0.49446418163179967</v>
      </c>
    </row>
    <row r="59" spans="1:10" x14ac:dyDescent="0.25">
      <c r="A59" s="1" t="s">
        <v>5</v>
      </c>
      <c r="B59">
        <v>0.31</v>
      </c>
      <c r="C59" s="2">
        <v>0.77461500000000005</v>
      </c>
      <c r="D59">
        <v>0.84482199999999996</v>
      </c>
      <c r="E59">
        <v>1.11195</v>
      </c>
      <c r="F59">
        <v>1.30901</v>
      </c>
      <c r="G59">
        <v>1.7241200000000001</v>
      </c>
      <c r="H59">
        <v>2.2103299999999999</v>
      </c>
      <c r="I59" s="2">
        <f>AVERAGE(wOver[[#This Row],[W1]:[W6]])</f>
        <v>1.3291411666666666</v>
      </c>
      <c r="J59">
        <f>_xlfn.STDEV.P(wOver[[#This Row],[W1]:[W6]])</f>
        <v>0.50367708409271406</v>
      </c>
    </row>
    <row r="60" spans="1:10" x14ac:dyDescent="0.25">
      <c r="A60" s="1" t="s">
        <v>5</v>
      </c>
      <c r="B60">
        <v>0.56000000000000005</v>
      </c>
      <c r="C60" s="2">
        <v>0.53113999999999995</v>
      </c>
      <c r="D60">
        <v>1.0114399999999999</v>
      </c>
      <c r="E60">
        <v>1.27156</v>
      </c>
      <c r="F60">
        <v>0.66128100000000001</v>
      </c>
      <c r="G60">
        <v>1.7298</v>
      </c>
      <c r="H60">
        <v>2.0932400000000002</v>
      </c>
      <c r="I60" s="2">
        <f>AVERAGE(wOver[[#This Row],[W1]:[W6]])</f>
        <v>1.2164101666666667</v>
      </c>
      <c r="J60">
        <f>_xlfn.STDEV.P(wOver[[#This Row],[W1]:[W6]])</f>
        <v>0.55606018018748593</v>
      </c>
    </row>
    <row r="61" spans="1:10" x14ac:dyDescent="0.25">
      <c r="A61" s="1" t="s">
        <v>5</v>
      </c>
      <c r="B61">
        <v>1</v>
      </c>
      <c r="C61" s="2">
        <v>0.174618</v>
      </c>
      <c r="D61">
        <v>0.265901</v>
      </c>
      <c r="E61">
        <v>1.2523899999999999</v>
      </c>
      <c r="F61">
        <v>1.58351</v>
      </c>
      <c r="G61">
        <v>3.04488</v>
      </c>
      <c r="H61">
        <v>3.1009199999999999</v>
      </c>
      <c r="I61" s="2">
        <f>AVERAGE(wOver[[#This Row],[W1]:[W6]])</f>
        <v>1.5703698333333334</v>
      </c>
      <c r="J61">
        <f>_xlfn.STDEV.P(wOver[[#This Row],[W1]:[W6]])</f>
        <v>1.1738689591875826</v>
      </c>
    </row>
    <row r="62" spans="1:10" x14ac:dyDescent="0.25">
      <c r="A62" s="1" t="s">
        <v>6</v>
      </c>
      <c r="B62">
        <v>0</v>
      </c>
      <c r="C62" s="2">
        <v>0.70058399999999998</v>
      </c>
      <c r="D62">
        <v>0.87562700000000004</v>
      </c>
      <c r="E62">
        <v>1.0506599999999999</v>
      </c>
      <c r="F62">
        <v>0.17541599999999999</v>
      </c>
      <c r="G62">
        <v>0.52561199999999997</v>
      </c>
      <c r="H62">
        <v>0.350549</v>
      </c>
      <c r="I62" s="2">
        <f>AVERAGE(wOver[[#This Row],[W1]:[W6]])</f>
        <v>0.61307466666666655</v>
      </c>
      <c r="J62">
        <f>_xlfn.STDEV.P(wOver[[#This Row],[W1]:[W6]])</f>
        <v>0.29893898132543534</v>
      </c>
    </row>
    <row r="63" spans="1:10" x14ac:dyDescent="0.25">
      <c r="A63" s="1" t="s">
        <v>6</v>
      </c>
      <c r="B63">
        <v>0.01</v>
      </c>
      <c r="C63" s="2">
        <v>0.52459199999999995</v>
      </c>
      <c r="D63">
        <v>0.87468699999999999</v>
      </c>
      <c r="E63">
        <v>0.69960199999999995</v>
      </c>
      <c r="F63">
        <v>0.172345</v>
      </c>
      <c r="G63">
        <v>0.34749099999999999</v>
      </c>
      <c r="H63">
        <v>1.04776</v>
      </c>
      <c r="I63" s="2">
        <f>AVERAGE(wOver[[#This Row],[W1]:[W6]])</f>
        <v>0.61107950000000011</v>
      </c>
      <c r="J63">
        <f>_xlfn.STDEV.P(wOver[[#This Row],[W1]:[W6]])</f>
        <v>0.2992941564808495</v>
      </c>
    </row>
    <row r="64" spans="1:10" x14ac:dyDescent="0.25">
      <c r="A64" s="1" t="s">
        <v>6</v>
      </c>
      <c r="B64">
        <v>1.7999999999999999E-2</v>
      </c>
      <c r="C64" s="2">
        <v>0.52676000000000001</v>
      </c>
      <c r="D64">
        <v>0.87783299999999997</v>
      </c>
      <c r="E64">
        <v>0.704789</v>
      </c>
      <c r="F64">
        <v>0.18243200000000001</v>
      </c>
      <c r="G64">
        <v>0.34956300000000001</v>
      </c>
      <c r="H64">
        <v>1.0559400000000001</v>
      </c>
      <c r="I64" s="2">
        <f>AVERAGE(wOver[[#This Row],[W1]:[W6]])</f>
        <v>0.61621950000000003</v>
      </c>
      <c r="J64">
        <f>_xlfn.STDEV.P(wOver[[#This Row],[W1]:[W6]])</f>
        <v>0.29914338371464949</v>
      </c>
    </row>
    <row r="65" spans="1:10" x14ac:dyDescent="0.25">
      <c r="A65" s="1" t="s">
        <v>6</v>
      </c>
      <c r="B65">
        <v>3.1E-2</v>
      </c>
      <c r="C65" s="2">
        <v>0.35352099999999997</v>
      </c>
      <c r="D65">
        <v>1.0508</v>
      </c>
      <c r="E65">
        <v>0.70868200000000003</v>
      </c>
      <c r="F65">
        <v>0.17446200000000001</v>
      </c>
      <c r="G65">
        <v>0.52568400000000004</v>
      </c>
      <c r="H65">
        <v>0.87964500000000001</v>
      </c>
      <c r="I65" s="2">
        <f>AVERAGE(wOver[[#This Row],[W1]:[W6]])</f>
        <v>0.61546566666666669</v>
      </c>
      <c r="J65">
        <f>_xlfn.STDEV.P(wOver[[#This Row],[W1]:[W6]])</f>
        <v>0.29976545743223237</v>
      </c>
    </row>
    <row r="66" spans="1:10" x14ac:dyDescent="0.25">
      <c r="A66" s="1" t="s">
        <v>6</v>
      </c>
      <c r="B66">
        <v>5.6000000000000001E-2</v>
      </c>
      <c r="C66" s="2">
        <v>0.69979100000000005</v>
      </c>
      <c r="D66">
        <v>1.0538099999999999</v>
      </c>
      <c r="E66">
        <v>0.177482</v>
      </c>
      <c r="F66">
        <v>0.36264000000000002</v>
      </c>
      <c r="G66">
        <v>0.87178800000000001</v>
      </c>
      <c r="H66">
        <v>0.53772699999999996</v>
      </c>
      <c r="I66" s="2">
        <f>AVERAGE(wOver[[#This Row],[W1]:[W6]])</f>
        <v>0.6172063333333333</v>
      </c>
      <c r="J66">
        <f>_xlfn.STDEV.P(wOver[[#This Row],[W1]:[W6]])</f>
        <v>0.2962918847289312</v>
      </c>
    </row>
    <row r="67" spans="1:10" x14ac:dyDescent="0.25">
      <c r="A67" s="1" t="s">
        <v>6</v>
      </c>
      <c r="B67">
        <v>0.1</v>
      </c>
      <c r="C67" s="2">
        <v>0.369533</v>
      </c>
      <c r="D67">
        <v>0.75469600000000003</v>
      </c>
      <c r="E67">
        <v>1.0918099999999999</v>
      </c>
      <c r="F67">
        <v>0.19328600000000001</v>
      </c>
      <c r="G67">
        <v>0.56054300000000001</v>
      </c>
      <c r="H67">
        <v>0.91375200000000001</v>
      </c>
      <c r="I67" s="2">
        <f>AVERAGE(wOver[[#This Row],[W1]:[W6]])</f>
        <v>0.64727000000000012</v>
      </c>
      <c r="J67">
        <f>_xlfn.STDEV.P(wOver[[#This Row],[W1]:[W6]])</f>
        <v>0.30847195965327751</v>
      </c>
    </row>
    <row r="68" spans="1:10" x14ac:dyDescent="0.25">
      <c r="A68" s="1" t="s">
        <v>6</v>
      </c>
      <c r="B68">
        <v>0.18</v>
      </c>
      <c r="C68" s="2">
        <v>0.69870100000000002</v>
      </c>
      <c r="D68">
        <v>0.15546299999999999</v>
      </c>
      <c r="E68">
        <v>0.32362000000000002</v>
      </c>
      <c r="F68">
        <v>0.84481899999999999</v>
      </c>
      <c r="G68">
        <v>1.0308600000000001</v>
      </c>
      <c r="H68">
        <v>0.496701</v>
      </c>
      <c r="I68" s="2">
        <f>AVERAGE(wOver[[#This Row],[W1]:[W6]])</f>
        <v>0.59169400000000005</v>
      </c>
      <c r="J68">
        <f>_xlfn.STDEV.P(wOver[[#This Row],[W1]:[W6]])</f>
        <v>0.29988174450272892</v>
      </c>
    </row>
    <row r="69" spans="1:10" x14ac:dyDescent="0.25">
      <c r="A69" s="1" t="s">
        <v>6</v>
      </c>
      <c r="B69">
        <v>0.31</v>
      </c>
      <c r="C69" s="2">
        <v>0.40665699999999999</v>
      </c>
      <c r="D69">
        <v>0.60771200000000003</v>
      </c>
      <c r="E69">
        <v>0.54292300000000004</v>
      </c>
      <c r="F69">
        <v>0.77478100000000005</v>
      </c>
      <c r="G69">
        <v>0.84478500000000001</v>
      </c>
      <c r="H69">
        <v>1.1118300000000001</v>
      </c>
      <c r="I69" s="2">
        <f>AVERAGE(wOver[[#This Row],[W1]:[W6]])</f>
        <v>0.71478133333333338</v>
      </c>
      <c r="J69">
        <f>_xlfn.STDEV.P(wOver[[#This Row],[W1]:[W6]])</f>
        <v>0.22879695901145386</v>
      </c>
    </row>
    <row r="70" spans="1:10" x14ac:dyDescent="0.25">
      <c r="A70" s="1" t="s">
        <v>6</v>
      </c>
      <c r="B70">
        <v>0.56000000000000005</v>
      </c>
      <c r="C70" s="2">
        <v>0.21948899999999999</v>
      </c>
      <c r="D70">
        <v>0.65466800000000003</v>
      </c>
      <c r="E70">
        <v>0.30453400000000003</v>
      </c>
      <c r="F70">
        <v>0.88451800000000003</v>
      </c>
      <c r="G70">
        <v>0.530725</v>
      </c>
      <c r="H70">
        <v>1.0107900000000001</v>
      </c>
      <c r="I70" s="2">
        <f>AVERAGE(wOver[[#This Row],[W1]:[W6]])</f>
        <v>0.60078733333333334</v>
      </c>
      <c r="J70">
        <f>_xlfn.STDEV.P(wOver[[#This Row],[W1]:[W6]])</f>
        <v>0.28564884946011759</v>
      </c>
    </row>
    <row r="71" spans="1:10" x14ac:dyDescent="0.25">
      <c r="A71" s="1" t="s">
        <v>6</v>
      </c>
      <c r="B71">
        <v>1</v>
      </c>
      <c r="C71" s="2">
        <v>1.1897500000000001</v>
      </c>
      <c r="D71">
        <v>0.84674799999999995</v>
      </c>
      <c r="E71">
        <v>1.0178499999999999</v>
      </c>
      <c r="F71">
        <v>0.77855099999999999</v>
      </c>
      <c r="G71">
        <v>1.0427</v>
      </c>
      <c r="H71">
        <v>1.13845</v>
      </c>
      <c r="I71" s="2">
        <f>AVERAGE(wOver[[#This Row],[W1]:[W6]])</f>
        <v>1.0023415</v>
      </c>
      <c r="J71">
        <f>_xlfn.STDEV.P(wOver[[#This Row],[W1]:[W6]])</f>
        <v>0.1470874552046611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9DDAD-EE7E-4C0C-AFF1-9EB0AC33A1F6}">
  <dimension ref="A1:L71"/>
  <sheetViews>
    <sheetView workbookViewId="0">
      <selection activeCell="W27" sqref="W27"/>
    </sheetView>
  </sheetViews>
  <sheetFormatPr defaultRowHeight="15" x14ac:dyDescent="0.25"/>
  <cols>
    <col min="1" max="2" width="11" customWidth="1"/>
    <col min="9" max="9" width="10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17</v>
      </c>
      <c r="J1" t="s">
        <v>16</v>
      </c>
      <c r="K1" t="s">
        <v>18</v>
      </c>
      <c r="L1" t="s">
        <v>19</v>
      </c>
    </row>
    <row r="2" spans="1:12" x14ac:dyDescent="0.25">
      <c r="A2" s="3" t="str">
        <f>wTask[[#This Row],[Heuristic]]</f>
        <v>FCFS</v>
      </c>
      <c r="B2" s="4">
        <f>wTask[[#This Row],[Variance]]</f>
        <v>0</v>
      </c>
      <c r="C2" s="8">
        <f>wOver[[#This Row],[W1]]/wTask[[#This Row],[W1]]</f>
        <v>1.4288296503769805E-3</v>
      </c>
      <c r="D2" s="5">
        <f>wOver[[#This Row],[W2]]/wTask[[#This Row],[W2]]</f>
        <v>2.8505749930870703E-3</v>
      </c>
      <c r="E2" s="5">
        <f>wOver[[#This Row],[W3]]/wTask[[#This Row],[W3]]</f>
        <v>4.3158313967333727E-3</v>
      </c>
      <c r="F2" s="5">
        <f>wOver[[#This Row],[W4]]/wTask[[#This Row],[W4]]</f>
        <v>5.7498912570682903E-3</v>
      </c>
      <c r="G2" s="5">
        <f>wOver[[#This Row],[W5]]/wTask[[#This Row],[W5]]</f>
        <v>7.2072448022124551E-3</v>
      </c>
      <c r="H2" s="5">
        <f>wOver[[#This Row],[W6]]/wTask[[#This Row],[W6]]</f>
        <v>8.6758597910903748E-3</v>
      </c>
      <c r="I2" s="8">
        <f>AVERAGE(Table3[[#This Row],[W1]:[W6]])</f>
        <v>5.0380386484280906E-3</v>
      </c>
      <c r="J2" s="5">
        <f>_xlfn.STDEV.P(Table3[[#This Row],[W1]:[W6]])</f>
        <v>2.4758467335942516E-3</v>
      </c>
      <c r="K2" s="12">
        <f>wTask[[#This Row],[Average]]</f>
        <v>121.99983333333334</v>
      </c>
      <c r="L2" s="11">
        <f>wOver[[#This Row],[Mean]]</f>
        <v>0.61308166666666664</v>
      </c>
    </row>
    <row r="3" spans="1:12" x14ac:dyDescent="0.25">
      <c r="A3" s="3" t="str">
        <f>wTask[[#This Row],[Heuristic]]</f>
        <v>FCFS</v>
      </c>
      <c r="B3" s="4">
        <f>wTask[[#This Row],[Variance]]</f>
        <v>0.01</v>
      </c>
      <c r="C3" s="8">
        <f>wOver[[#This Row],[W1]]/wTask[[#This Row],[W1]]</f>
        <v>4.0920842207088082E-3</v>
      </c>
      <c r="D3" s="5">
        <f>wOver[[#This Row],[W2]]/wTask[[#This Row],[W2]]</f>
        <v>1.3359215175748559E-3</v>
      </c>
      <c r="E3" s="5">
        <f>wOver[[#This Row],[W3]]/wTask[[#This Row],[W3]]</f>
        <v>2.712787719791374E-3</v>
      </c>
      <c r="F3" s="5">
        <f>wOver[[#This Row],[W4]]/wTask[[#This Row],[W4]]</f>
        <v>5.4337068704424204E-3</v>
      </c>
      <c r="G3" s="5">
        <f>wOver[[#This Row],[W5]]/wTask[[#This Row],[W5]]</f>
        <v>6.8424194065695087E-3</v>
      </c>
      <c r="H3" s="5">
        <f>wOver[[#This Row],[W6]]/wTask[[#This Row],[W6]]</f>
        <v>8.1644134491759834E-3</v>
      </c>
      <c r="I3" s="8">
        <f>AVERAGE(Table3[[#This Row],[W1]:[W6]])</f>
        <v>4.7635555307104921E-3</v>
      </c>
      <c r="J3" s="5">
        <f>_xlfn.STDEV.P(Table3[[#This Row],[W1]:[W6]])</f>
        <v>2.3360154707160073E-3</v>
      </c>
      <c r="K3" s="12">
        <f>wTask[[#This Row],[Average]]</f>
        <v>128.37466666666668</v>
      </c>
      <c r="L3" s="11">
        <f>wOver[[#This Row],[Mean]]</f>
        <v>0.61109216666666666</v>
      </c>
    </row>
    <row r="4" spans="1:12" x14ac:dyDescent="0.25">
      <c r="A4" s="3" t="str">
        <f>wTask[[#This Row],[Heuristic]]</f>
        <v>FCFS</v>
      </c>
      <c r="B4" s="4">
        <f>wTask[[#This Row],[Variance]]</f>
        <v>1.7999999999999999E-2</v>
      </c>
      <c r="C4" s="8">
        <f>wOver[[#This Row],[W1]]/wTask[[#This Row],[W1]]</f>
        <v>1.3973144486342317E-3</v>
      </c>
      <c r="D4" s="5">
        <f>wOver[[#This Row],[W2]]/wTask[[#This Row],[W2]]</f>
        <v>2.6889022297136083E-3</v>
      </c>
      <c r="E4" s="5">
        <f>wOver[[#This Row],[W3]]/wTask[[#This Row],[W3]]</f>
        <v>4.0678373325504858E-3</v>
      </c>
      <c r="F4" s="5">
        <f>wOver[[#This Row],[W4]]/wTask[[#This Row],[W4]]</f>
        <v>5.4765247267695855E-3</v>
      </c>
      <c r="G4" s="5">
        <f>wOver[[#This Row],[W5]]/wTask[[#This Row],[W5]]</f>
        <v>6.8169523913094139E-3</v>
      </c>
      <c r="H4" s="5">
        <f>wOver[[#This Row],[W6]]/wTask[[#This Row],[W6]]</f>
        <v>8.1815011431007091E-3</v>
      </c>
      <c r="I4" s="8">
        <f>AVERAGE(Table3[[#This Row],[W1]:[W6]])</f>
        <v>4.7715053786796724E-3</v>
      </c>
      <c r="J4" s="5">
        <f>_xlfn.STDEV.P(Table3[[#This Row],[W1]:[W6]])</f>
        <v>2.3283229266167116E-3</v>
      </c>
      <c r="K4" s="12">
        <f>wTask[[#This Row],[Average]]</f>
        <v>129.37716666666665</v>
      </c>
      <c r="L4" s="11">
        <f>wOver[[#This Row],[Mean]]</f>
        <v>0.61600883333333334</v>
      </c>
    </row>
    <row r="5" spans="1:12" x14ac:dyDescent="0.25">
      <c r="A5" s="3" t="str">
        <f>wTask[[#This Row],[Heuristic]]</f>
        <v>FCFS</v>
      </c>
      <c r="B5" s="4">
        <f>wTask[[#This Row],[Variance]]</f>
        <v>3.1E-2</v>
      </c>
      <c r="C5" s="8">
        <f>wOver[[#This Row],[W1]]/wTask[[#This Row],[W1]]</f>
        <v>1.3518831239252018E-3</v>
      </c>
      <c r="D5" s="5">
        <f>wOver[[#This Row],[W2]]/wTask[[#This Row],[W2]]</f>
        <v>2.7363143274966922E-3</v>
      </c>
      <c r="E5" s="5">
        <f>wOver[[#This Row],[W3]]/wTask[[#This Row],[W3]]</f>
        <v>4.0549809094064552E-3</v>
      </c>
      <c r="F5" s="5">
        <f>wOver[[#This Row],[W4]]/wTask[[#This Row],[W4]]</f>
        <v>5.5199133996853729E-3</v>
      </c>
      <c r="G5" s="5">
        <f>wOver[[#This Row],[W5]]/wTask[[#This Row],[W5]]</f>
        <v>6.8378432987767921E-3</v>
      </c>
      <c r="H5" s="5">
        <f>wOver[[#This Row],[W6]]/wTask[[#This Row],[W6]]</f>
        <v>8.2149818340584123E-3</v>
      </c>
      <c r="I5" s="8">
        <f>AVERAGE(Table3[[#This Row],[W1]:[W6]])</f>
        <v>4.7859861488914876E-3</v>
      </c>
      <c r="J5" s="5">
        <f>_xlfn.STDEV.P(Table3[[#This Row],[W1]:[W6]])</f>
        <v>2.3464641912014379E-3</v>
      </c>
      <c r="K5" s="12">
        <f>wTask[[#This Row],[Average]]</f>
        <v>128.88766666666666</v>
      </c>
      <c r="L5" s="11">
        <f>wOver[[#This Row],[Mean]]</f>
        <v>0.61603533333333338</v>
      </c>
    </row>
    <row r="6" spans="1:12" x14ac:dyDescent="0.25">
      <c r="A6" s="3" t="str">
        <f>wTask[[#This Row],[Heuristic]]</f>
        <v>FCFS</v>
      </c>
      <c r="B6" s="4">
        <f>wTask[[#This Row],[Variance]]</f>
        <v>5.6000000000000001E-2</v>
      </c>
      <c r="C6" s="8">
        <f>wOver[[#This Row],[W1]]/wTask[[#This Row],[W1]]</f>
        <v>5.4433630521713424E-3</v>
      </c>
      <c r="D6" s="5">
        <f>wOver[[#This Row],[W2]]/wTask[[#This Row],[W2]]</f>
        <v>8.247651847213525E-3</v>
      </c>
      <c r="E6" s="5">
        <f>wOver[[#This Row],[W3]]/wTask[[#This Row],[W3]]</f>
        <v>6.8077680063731074E-3</v>
      </c>
      <c r="F6" s="5">
        <f>wOver[[#This Row],[W4]]/wTask[[#This Row],[W4]]</f>
        <v>1.3832155504594312E-3</v>
      </c>
      <c r="G6" s="5">
        <f>wOver[[#This Row],[W5]]/wTask[[#This Row],[W5]]</f>
        <v>2.830196191710451E-3</v>
      </c>
      <c r="H6" s="5">
        <f>wOver[[#This Row],[W6]]/wTask[[#This Row],[W6]]</f>
        <v>4.1958759668141764E-3</v>
      </c>
      <c r="I6" s="8">
        <f>AVERAGE(Table3[[#This Row],[W1]:[W6]])</f>
        <v>4.8180117691236724E-3</v>
      </c>
      <c r="J6" s="5">
        <f>_xlfn.STDEV.P(Table3[[#This Row],[W1]:[W6]])</f>
        <v>2.3183655868662693E-3</v>
      </c>
      <c r="K6" s="12">
        <f>wTask[[#This Row],[Average]]</f>
        <v>128.12566666666666</v>
      </c>
      <c r="L6" s="11">
        <f>wOver[[#This Row],[Mean]]</f>
        <v>0.61708416666666677</v>
      </c>
    </row>
    <row r="7" spans="1:12" x14ac:dyDescent="0.25">
      <c r="A7" s="3" t="str">
        <f>wTask[[#This Row],[Heuristic]]</f>
        <v>FCFS</v>
      </c>
      <c r="B7" s="4">
        <f>wTask[[#This Row],[Variance]]</f>
        <v>0.1</v>
      </c>
      <c r="C7" s="8">
        <f>wOver[[#This Row],[W1]]/wTask[[#This Row],[W1]]</f>
        <v>1.5102931758899146E-3</v>
      </c>
      <c r="D7" s="5">
        <f>wOver[[#This Row],[W2]]/wTask[[#This Row],[W2]]</f>
        <v>4.3696584194689988E-3</v>
      </c>
      <c r="E7" s="5">
        <f>wOver[[#This Row],[W3]]/wTask[[#This Row],[W3]]</f>
        <v>8.5917233345926217E-3</v>
      </c>
      <c r="F7" s="5">
        <f>wOver[[#This Row],[W4]]/wTask[[#This Row],[W4]]</f>
        <v>7.2042078036778853E-3</v>
      </c>
      <c r="G7" s="5">
        <f>wOver[[#This Row],[W5]]/wTask[[#This Row],[W5]]</f>
        <v>2.8762643369384944E-3</v>
      </c>
      <c r="H7" s="5">
        <f>wOver[[#This Row],[W6]]/wTask[[#This Row],[W6]]</f>
        <v>5.9085627031048122E-3</v>
      </c>
      <c r="I7" s="8">
        <f>AVERAGE(Table3[[#This Row],[W1]:[W6]])</f>
        <v>5.0767849622787879E-3</v>
      </c>
      <c r="J7" s="5">
        <f>_xlfn.STDEV.P(Table3[[#This Row],[W1]:[W6]])</f>
        <v>2.4370322303257142E-3</v>
      </c>
      <c r="K7" s="12">
        <f>wTask[[#This Row],[Average]]</f>
        <v>127.72199999999999</v>
      </c>
      <c r="L7" s="11">
        <f>wOver[[#This Row],[Mean]]</f>
        <v>0.64718433333333336</v>
      </c>
    </row>
    <row r="8" spans="1:12" x14ac:dyDescent="0.25">
      <c r="A8" s="3" t="str">
        <f>wTask[[#This Row],[Heuristic]]</f>
        <v>FCFS</v>
      </c>
      <c r="B8" s="4">
        <f>wTask[[#This Row],[Variance]]</f>
        <v>0.18</v>
      </c>
      <c r="C8" s="8">
        <f>wOver[[#This Row],[W1]]/wTask[[#This Row],[W1]]</f>
        <v>1.1905509760058834E-3</v>
      </c>
      <c r="D8" s="5">
        <f>wOver[[#This Row],[W2]]/wTask[[#This Row],[W2]]</f>
        <v>2.4909064309473939E-3</v>
      </c>
      <c r="E8" s="5">
        <f>wOver[[#This Row],[W3]]/wTask[[#This Row],[W3]]</f>
        <v>3.8054638108739798E-3</v>
      </c>
      <c r="F8" s="5">
        <f>wOver[[#This Row],[W4]]/wTask[[#This Row],[W4]]</f>
        <v>5.3773079557611347E-3</v>
      </c>
      <c r="G8" s="5">
        <f>wOver[[#This Row],[W5]]/wTask[[#This Row],[W5]]</f>
        <v>6.4834872172718407E-3</v>
      </c>
      <c r="H8" s="5">
        <f>wOver[[#This Row],[W6]]/wTask[[#This Row],[W6]]</f>
        <v>7.9650421518703673E-3</v>
      </c>
      <c r="I8" s="8">
        <f>AVERAGE(Table3[[#This Row],[W1]:[W6]])</f>
        <v>4.5521264237884341E-3</v>
      </c>
      <c r="J8" s="5">
        <f>_xlfn.STDEV.P(Table3[[#This Row],[W1]:[W6]])</f>
        <v>2.3153615718302322E-3</v>
      </c>
      <c r="K8" s="12">
        <f>wTask[[#This Row],[Average]]</f>
        <v>130.08933333333334</v>
      </c>
      <c r="L8" s="11">
        <f>wOver[[#This Row],[Mean]]</f>
        <v>0.59161833333333336</v>
      </c>
    </row>
    <row r="9" spans="1:12" x14ac:dyDescent="0.25">
      <c r="A9" s="3" t="str">
        <f>wTask[[#This Row],[Heuristic]]</f>
        <v>FCFS</v>
      </c>
      <c r="B9" s="4">
        <f>wTask[[#This Row],[Variance]]</f>
        <v>0.31</v>
      </c>
      <c r="C9" s="8">
        <f>wOver[[#This Row],[W1]]/wTask[[#This Row],[W1]]</f>
        <v>3.8713399606581105E-3</v>
      </c>
      <c r="D9" s="5">
        <f>wOver[[#This Row],[W2]]/wTask[[#This Row],[W2]]</f>
        <v>8.3504837158995312E-3</v>
      </c>
      <c r="E9" s="5">
        <f>wOver[[#This Row],[W3]]/wTask[[#This Row],[W3]]</f>
        <v>4.5842983998128969E-3</v>
      </c>
      <c r="F9" s="5">
        <f>wOver[[#This Row],[W4]]/wTask[[#This Row],[W4]]</f>
        <v>6.3648680214903053E-3</v>
      </c>
      <c r="G9" s="5">
        <f>wOver[[#This Row],[W5]]/wTask[[#This Row],[W5]]</f>
        <v>3.0670458488601905E-3</v>
      </c>
      <c r="H9" s="5">
        <f>wOver[[#This Row],[W6]]/wTask[[#This Row],[W6]]</f>
        <v>5.8600511408339892E-3</v>
      </c>
      <c r="I9" s="8">
        <f>AVERAGE(Table3[[#This Row],[W1]:[W6]])</f>
        <v>5.3496811812591702E-3</v>
      </c>
      <c r="J9" s="5">
        <f>_xlfn.STDEV.P(Table3[[#This Row],[W1]:[W6]])</f>
        <v>1.7453569499053653E-3</v>
      </c>
      <c r="K9" s="12">
        <f>wTask[[#This Row],[Average]]</f>
        <v>132.63783333333333</v>
      </c>
      <c r="L9" s="11">
        <f>wOver[[#This Row],[Mean]]</f>
        <v>0.70982083333333346</v>
      </c>
    </row>
    <row r="10" spans="1:12" x14ac:dyDescent="0.25">
      <c r="A10" s="3" t="str">
        <f>wTask[[#This Row],[Heuristic]]</f>
        <v>FCFS</v>
      </c>
      <c r="B10" s="4">
        <f>wTask[[#This Row],[Variance]]</f>
        <v>0.56000000000000005</v>
      </c>
      <c r="C10" s="8">
        <f>wOver[[#This Row],[W1]]/wTask[[#This Row],[W1]]</f>
        <v>1.5169441737339388E-3</v>
      </c>
      <c r="D10" s="5">
        <f>wOver[[#This Row],[W2]]/wTask[[#This Row],[W2]]</f>
        <v>4.6974645583424211E-3</v>
      </c>
      <c r="E10" s="5">
        <f>wOver[[#This Row],[W3]]/wTask[[#This Row],[W3]]</f>
        <v>2.1052700694612434E-3</v>
      </c>
      <c r="F10" s="5">
        <f>wOver[[#This Row],[W4]]/wTask[[#This Row],[W4]]</f>
        <v>3.6630455787759163E-3</v>
      </c>
      <c r="G10" s="5">
        <f>wOver[[#This Row],[W5]]/wTask[[#This Row],[W5]]</f>
        <v>6.0939357988794634E-3</v>
      </c>
      <c r="H10" s="5">
        <f>wOver[[#This Row],[W6]]/wTask[[#This Row],[W6]]</f>
        <v>6.9824549285072875E-3</v>
      </c>
      <c r="I10" s="8">
        <f>AVERAGE(Table3[[#This Row],[W1]:[W6]])</f>
        <v>4.1765191846167117E-3</v>
      </c>
      <c r="J10" s="5">
        <f>_xlfn.STDEV.P(Table3[[#This Row],[W1]:[W6]])</f>
        <v>1.9768751955775801E-3</v>
      </c>
      <c r="K10" s="12">
        <f>wTask[[#This Row],[Average]]</f>
        <v>145.26183333333333</v>
      </c>
      <c r="L10" s="11">
        <f>wOver[[#This Row],[Mean]]</f>
        <v>0.60725300000000004</v>
      </c>
    </row>
    <row r="11" spans="1:12" x14ac:dyDescent="0.25">
      <c r="A11" s="9" t="str">
        <f>wTask[[#This Row],[Heuristic]]</f>
        <v>FCFS</v>
      </c>
      <c r="B11" s="10">
        <f>wTask[[#This Row],[Variance]]</f>
        <v>1</v>
      </c>
      <c r="C11" s="8">
        <f>wOver[[#This Row],[W1]]/wTask[[#This Row],[W1]]</f>
        <v>5.261849914242861E-3</v>
      </c>
      <c r="D11" s="5">
        <f>wOver[[#This Row],[W2]]/wTask[[#This Row],[W2]]</f>
        <v>8.6052112034365313E-3</v>
      </c>
      <c r="E11" s="5">
        <f>wOver[[#This Row],[W3]]/wTask[[#This Row],[W3]]</f>
        <v>7.3324699137065448E-3</v>
      </c>
      <c r="F11" s="5">
        <f>wOver[[#This Row],[W4]]/wTask[[#This Row],[W4]]</f>
        <v>7.3885655398638539E-3</v>
      </c>
      <c r="G11" s="5">
        <f>wOver[[#This Row],[W5]]/wTask[[#This Row],[W5]]</f>
        <v>7.7793424178744493E-3</v>
      </c>
      <c r="H11" s="5">
        <f>wOver[[#This Row],[W6]]/wTask[[#This Row],[W6]]</f>
        <v>6.0655482394187657E-3</v>
      </c>
      <c r="I11" s="8">
        <f>AVERAGE(Table3[[#This Row],[W1]:[W6]])</f>
        <v>7.0721645380905016E-3</v>
      </c>
      <c r="J11" s="5">
        <f>_xlfn.STDEV.P(Table3[[#This Row],[W1]:[W6]])</f>
        <v>1.1036844751671786E-3</v>
      </c>
      <c r="K11" s="12">
        <f>wTask[[#This Row],[Average]]</f>
        <v>138.23099999999999</v>
      </c>
      <c r="L11" s="11">
        <f>wOver[[#This Row],[Mean]]</f>
        <v>0.97726966666666659</v>
      </c>
    </row>
    <row r="12" spans="1:12" x14ac:dyDescent="0.25">
      <c r="A12" s="16" t="str">
        <f>wTask[[#This Row],[Heuristic]]</f>
        <v>LCFS</v>
      </c>
      <c r="B12" s="17">
        <f>wTask[[#This Row],[Variance]]</f>
        <v>0</v>
      </c>
      <c r="C12" s="18">
        <f>wOver[[#This Row],[W1]]/wTask[[#This Row],[W1]]</f>
        <v>1.3527498362045705E-3</v>
      </c>
      <c r="D12" s="19">
        <f>wOver[[#This Row],[W2]]/wTask[[#This Row],[W2]]</f>
        <v>2.7128367400622031E-3</v>
      </c>
      <c r="E12" s="19">
        <f>wOver[[#This Row],[W3]]/wTask[[#This Row],[W3]]</f>
        <v>5.4516304686041458E-3</v>
      </c>
      <c r="F12" s="19">
        <f>wOver[[#This Row],[W4]]/wTask[[#This Row],[W4]]</f>
        <v>4.0691486068111463E-3</v>
      </c>
      <c r="G12" s="19">
        <f>wOver[[#This Row],[W5]]/wTask[[#This Row],[W5]]</f>
        <v>6.8122292478437051E-3</v>
      </c>
      <c r="H12" s="19">
        <f>wOver[[#This Row],[W6]]/wTask[[#This Row],[W6]]</f>
        <v>8.2266700064185863E-3</v>
      </c>
      <c r="I12" s="18">
        <f>AVERAGE(Table3[[#This Row],[W1]:[W6]])</f>
        <v>4.7708774843240598E-3</v>
      </c>
      <c r="J12" s="19">
        <f>_xlfn.STDEV.P(Table3[[#This Row],[W1]:[W6]])</f>
        <v>2.3446604354437537E-3</v>
      </c>
      <c r="K12" s="20">
        <f>wTask[[#This Row],[Average]]</f>
        <v>128.84533333333334</v>
      </c>
      <c r="L12" s="21">
        <f>wOver[[#This Row],[Mean]]</f>
        <v>0.61326366666666665</v>
      </c>
    </row>
    <row r="13" spans="1:12" x14ac:dyDescent="0.25">
      <c r="A13" s="3" t="str">
        <f>wTask[[#This Row],[Heuristic]]</f>
        <v>LCFS</v>
      </c>
      <c r="B13" s="4">
        <f>wTask[[#This Row],[Variance]]</f>
        <v>0.01</v>
      </c>
      <c r="C13" s="8">
        <f>wOver[[#This Row],[W1]]/wTask[[#This Row],[W1]]</f>
        <v>1.3345221609327013E-3</v>
      </c>
      <c r="D13" s="5">
        <f>wOver[[#This Row],[W2]]/wTask[[#This Row],[W2]]</f>
        <v>2.7030569383945241E-3</v>
      </c>
      <c r="E13" s="5">
        <f>wOver[[#This Row],[W3]]/wTask[[#This Row],[W3]]</f>
        <v>4.0553506961355018E-3</v>
      </c>
      <c r="F13" s="5">
        <f>wOver[[#This Row],[W4]]/wTask[[#This Row],[W4]]</f>
        <v>5.4582852239038852E-3</v>
      </c>
      <c r="G13" s="5">
        <f>wOver[[#This Row],[W5]]/wTask[[#This Row],[W5]]</f>
        <v>6.8454802281993693E-3</v>
      </c>
      <c r="H13" s="5">
        <f>wOver[[#This Row],[W6]]/wTask[[#This Row],[W6]]</f>
        <v>8.1876504235301479E-3</v>
      </c>
      <c r="I13" s="8">
        <f>AVERAGE(Table3[[#This Row],[W1]:[W6]])</f>
        <v>4.7640576118493545E-3</v>
      </c>
      <c r="J13" s="5">
        <f>_xlfn.STDEV.P(Table3[[#This Row],[W1]:[W6]])</f>
        <v>2.3468760265098749E-3</v>
      </c>
      <c r="K13" s="12">
        <f>wTask[[#This Row],[Average]]</f>
        <v>128.51849999999999</v>
      </c>
      <c r="L13" s="11">
        <f>wOver[[#This Row],[Mean]]</f>
        <v>0.6111268333333334</v>
      </c>
    </row>
    <row r="14" spans="1:12" x14ac:dyDescent="0.25">
      <c r="A14" s="3" t="str">
        <f>wTask[[#This Row],[Heuristic]]</f>
        <v>LCFS</v>
      </c>
      <c r="B14" s="4">
        <f>wTask[[#This Row],[Variance]]</f>
        <v>1.7999999999999999E-2</v>
      </c>
      <c r="C14" s="8">
        <f>wOver[[#This Row],[W1]]/wTask[[#This Row],[W1]]</f>
        <v>4.1182377738325209E-3</v>
      </c>
      <c r="D14" s="5">
        <f>wOver[[#This Row],[W2]]/wTask[[#This Row],[W2]]</f>
        <v>1.4352136725235469E-3</v>
      </c>
      <c r="E14" s="5">
        <f>wOver[[#This Row],[W3]]/wTask[[#This Row],[W3]]</f>
        <v>2.7349985914170345E-3</v>
      </c>
      <c r="F14" s="5">
        <f>wOver[[#This Row],[W4]]/wTask[[#This Row],[W4]]</f>
        <v>5.5292474518819591E-3</v>
      </c>
      <c r="G14" s="5">
        <f>wOver[[#This Row],[W5]]/wTask[[#This Row],[W5]]</f>
        <v>6.927751641828744E-3</v>
      </c>
      <c r="H14" s="5">
        <f>wOver[[#This Row],[W6]]/wTask[[#This Row],[W6]]</f>
        <v>8.3494930642329535E-3</v>
      </c>
      <c r="I14" s="8">
        <f>AVERAGE(Table3[[#This Row],[W1]:[W6]])</f>
        <v>4.849157032619459E-3</v>
      </c>
      <c r="J14" s="5">
        <f>_xlfn.STDEV.P(Table3[[#This Row],[W1]:[W6]])</f>
        <v>2.3697520617613974E-3</v>
      </c>
      <c r="K14" s="12">
        <f>wTask[[#This Row],[Average]]</f>
        <v>127.2195</v>
      </c>
      <c r="L14" s="11">
        <f>wOver[[#This Row],[Mean]]</f>
        <v>0.61609466666666668</v>
      </c>
    </row>
    <row r="15" spans="1:12" x14ac:dyDescent="0.25">
      <c r="A15" s="3" t="str">
        <f>wTask[[#This Row],[Heuristic]]</f>
        <v>LCFS</v>
      </c>
      <c r="B15" s="4">
        <f>wTask[[#This Row],[Variance]]</f>
        <v>3.1E-2</v>
      </c>
      <c r="C15" s="8">
        <f>wOver[[#This Row],[W1]]/wTask[[#This Row],[W1]]</f>
        <v>4.0705238939972577E-3</v>
      </c>
      <c r="D15" s="5">
        <f>wOver[[#This Row],[W2]]/wTask[[#This Row],[W2]]</f>
        <v>5.5064533424506379E-3</v>
      </c>
      <c r="E15" s="5">
        <f>wOver[[#This Row],[W3]]/wTask[[#This Row],[W3]]</f>
        <v>6.8811960195268489E-3</v>
      </c>
      <c r="F15" s="5">
        <f>wOver[[#This Row],[W4]]/wTask[[#This Row],[W4]]</f>
        <v>2.7419787651525138E-3</v>
      </c>
      <c r="G15" s="5">
        <f>wOver[[#This Row],[W5]]/wTask[[#This Row],[W5]]</f>
        <v>1.3515120045879381E-3</v>
      </c>
      <c r="H15" s="5">
        <f>wOver[[#This Row],[W6]]/wTask[[#This Row],[W6]]</f>
        <v>8.19023044061243E-3</v>
      </c>
      <c r="I15" s="8">
        <f>AVERAGE(Table3[[#This Row],[W1]:[W6]])</f>
        <v>4.7903157443879374E-3</v>
      </c>
      <c r="J15" s="5">
        <f>_xlfn.STDEV.P(Table3[[#This Row],[W1]:[W6]])</f>
        <v>2.3446111680184793E-3</v>
      </c>
      <c r="K15" s="12">
        <f>wTask[[#This Row],[Average]]</f>
        <v>128.64283333333333</v>
      </c>
      <c r="L15" s="11">
        <f>wOver[[#This Row],[Mean]]</f>
        <v>0.61537350000000002</v>
      </c>
    </row>
    <row r="16" spans="1:12" x14ac:dyDescent="0.25">
      <c r="A16" s="3" t="str">
        <f>wTask[[#This Row],[Heuristic]]</f>
        <v>LCFS</v>
      </c>
      <c r="B16" s="4">
        <f>wTask[[#This Row],[Variance]]</f>
        <v>5.6000000000000001E-2</v>
      </c>
      <c r="C16" s="8">
        <f>wOver[[#This Row],[W1]]/wTask[[#This Row],[W1]]</f>
        <v>4.1713452198066511E-3</v>
      </c>
      <c r="D16" s="5">
        <f>wOver[[#This Row],[W2]]/wTask[[#This Row],[W2]]</f>
        <v>2.810556261821339E-3</v>
      </c>
      <c r="E16" s="5">
        <f>wOver[[#This Row],[W3]]/wTask[[#This Row],[W3]]</f>
        <v>8.2082937391927471E-3</v>
      </c>
      <c r="F16" s="5">
        <f>wOver[[#This Row],[W4]]/wTask[[#This Row],[W4]]</f>
        <v>1.3736577661822883E-3</v>
      </c>
      <c r="G16" s="5">
        <f>wOver[[#This Row],[W5]]/wTask[[#This Row],[W5]]</f>
        <v>5.4610443334374018E-3</v>
      </c>
      <c r="H16" s="5">
        <f>wOver[[#This Row],[W6]]/wTask[[#This Row],[W6]]</f>
        <v>6.7735035430134261E-3</v>
      </c>
      <c r="I16" s="8">
        <f>AVERAGE(Table3[[#This Row],[W1]:[W6]])</f>
        <v>4.7997334772423086E-3</v>
      </c>
      <c r="J16" s="5">
        <f>_xlfn.STDEV.P(Table3[[#This Row],[W1]:[W6]])</f>
        <v>2.3108828022623605E-3</v>
      </c>
      <c r="K16" s="12">
        <f>wTask[[#This Row],[Average]]</f>
        <v>128.7115</v>
      </c>
      <c r="L16" s="11">
        <f>wOver[[#This Row],[Mean]]</f>
        <v>0.61715183333333334</v>
      </c>
    </row>
    <row r="17" spans="1:12" x14ac:dyDescent="0.25">
      <c r="A17" s="3" t="str">
        <f>wTask[[#This Row],[Heuristic]]</f>
        <v>LCFS</v>
      </c>
      <c r="B17" s="4">
        <f>wTask[[#This Row],[Variance]]</f>
        <v>0.1</v>
      </c>
      <c r="C17" s="8">
        <f>wOver[[#This Row],[W1]]/wTask[[#This Row],[W1]]</f>
        <v>2.8652152338419549E-3</v>
      </c>
      <c r="D17" s="5">
        <f>wOver[[#This Row],[W2]]/wTask[[#This Row],[W2]]</f>
        <v>4.353288717741685E-3</v>
      </c>
      <c r="E17" s="5">
        <f>wOver[[#This Row],[W3]]/wTask[[#This Row],[W3]]</f>
        <v>5.9003369793824909E-3</v>
      </c>
      <c r="F17" s="5">
        <f>wOver[[#This Row],[W4]]/wTask[[#This Row],[W4]]</f>
        <v>8.5801299936339274E-3</v>
      </c>
      <c r="G17" s="5">
        <f>wOver[[#This Row],[W5]]/wTask[[#This Row],[W5]]</f>
        <v>1.5125435131223843E-3</v>
      </c>
      <c r="H17" s="5">
        <f>wOver[[#This Row],[W6]]/wTask[[#This Row],[W6]]</f>
        <v>7.1261367358717194E-3</v>
      </c>
      <c r="I17" s="8">
        <f>AVERAGE(Table3[[#This Row],[W1]:[W6]])</f>
        <v>5.0562751955990264E-3</v>
      </c>
      <c r="J17" s="5">
        <f>_xlfn.STDEV.P(Table3[[#This Row],[W1]:[W6]])</f>
        <v>2.4244342195596643E-3</v>
      </c>
      <c r="K17" s="12">
        <f>wTask[[#This Row],[Average]]</f>
        <v>128.16183333333333</v>
      </c>
      <c r="L17" s="11">
        <f>wOver[[#This Row],[Mean]]</f>
        <v>0.64728150000000007</v>
      </c>
    </row>
    <row r="18" spans="1:12" x14ac:dyDescent="0.25">
      <c r="A18" s="3" t="str">
        <f>wTask[[#This Row],[Heuristic]]</f>
        <v>LCFS</v>
      </c>
      <c r="B18" s="4">
        <f>wTask[[#This Row],[Variance]]</f>
        <v>0.18</v>
      </c>
      <c r="C18" s="8">
        <f>wOver[[#This Row],[W1]]/wTask[[#This Row],[W1]]</f>
        <v>1.1849336991312299E-3</v>
      </c>
      <c r="D18" s="5">
        <f>wOver[[#This Row],[W2]]/wTask[[#This Row],[W2]]</f>
        <v>2.4805554277652544E-3</v>
      </c>
      <c r="E18" s="5">
        <f>wOver[[#This Row],[W3]]/wTask[[#This Row],[W3]]</f>
        <v>5.3881039057197501E-3</v>
      </c>
      <c r="F18" s="5">
        <f>wOver[[#This Row],[W4]]/wTask[[#This Row],[W4]]</f>
        <v>3.8090109165113189E-3</v>
      </c>
      <c r="G18" s="5">
        <f>wOver[[#This Row],[W5]]/wTask[[#This Row],[W5]]</f>
        <v>6.5377642569068688E-3</v>
      </c>
      <c r="H18" s="5">
        <f>wOver[[#This Row],[W6]]/wTask[[#This Row],[W6]]</f>
        <v>7.8806670897787843E-3</v>
      </c>
      <c r="I18" s="8">
        <f>AVERAGE(Table3[[#This Row],[W1]:[W6]])</f>
        <v>4.5468392159688682E-3</v>
      </c>
      <c r="J18" s="5">
        <f>_xlfn.STDEV.P(Table3[[#This Row],[W1]:[W6]])</f>
        <v>2.3058709520867374E-3</v>
      </c>
      <c r="K18" s="12">
        <f>wTask[[#This Row],[Average]]</f>
        <v>130.26850000000002</v>
      </c>
      <c r="L18" s="11">
        <f>wOver[[#This Row],[Mean]]</f>
        <v>0.59154999999999991</v>
      </c>
    </row>
    <row r="19" spans="1:12" x14ac:dyDescent="0.25">
      <c r="A19" s="3" t="str">
        <f>wTask[[#This Row],[Heuristic]]</f>
        <v>LCFS</v>
      </c>
      <c r="B19" s="4">
        <f>wTask[[#This Row],[Variance]]</f>
        <v>0.31</v>
      </c>
      <c r="C19" s="8">
        <f>wOver[[#This Row],[W1]]/wTask[[#This Row],[W1]]</f>
        <v>3.8712639484326061E-3</v>
      </c>
      <c r="D19" s="5">
        <f>wOver[[#This Row],[W2]]/wTask[[#This Row],[W2]]</f>
        <v>3.0535636500187758E-3</v>
      </c>
      <c r="E19" s="5">
        <f>wOver[[#This Row],[W3]]/wTask[[#This Row],[W3]]</f>
        <v>4.577572571290843E-3</v>
      </c>
      <c r="F19" s="5">
        <f>wOver[[#This Row],[W4]]/wTask[[#This Row],[W4]]</f>
        <v>5.9111816503120852E-3</v>
      </c>
      <c r="G19" s="5">
        <f>wOver[[#This Row],[W5]]/wTask[[#This Row],[W5]]</f>
        <v>6.3877605033120597E-3</v>
      </c>
      <c r="H19" s="5">
        <f>wOver[[#This Row],[W6]]/wTask[[#This Row],[W6]]</f>
        <v>8.5039659168266533E-3</v>
      </c>
      <c r="I19" s="8">
        <f>AVERAGE(Table3[[#This Row],[W1]:[W6]])</f>
        <v>5.3842180400321708E-3</v>
      </c>
      <c r="J19" s="5">
        <f>_xlfn.STDEV.P(Table3[[#This Row],[W1]:[W6]])</f>
        <v>1.7976499389548511E-3</v>
      </c>
      <c r="K19" s="12">
        <f>wTask[[#This Row],[Average]]</f>
        <v>131.91816666666668</v>
      </c>
      <c r="L19" s="11">
        <f>wOver[[#This Row],[Mean]]</f>
        <v>0.70914050000000006</v>
      </c>
    </row>
    <row r="20" spans="1:12" x14ac:dyDescent="0.25">
      <c r="A20" s="3" t="str">
        <f>wTask[[#This Row],[Heuristic]]</f>
        <v>LCFS</v>
      </c>
      <c r="B20" s="4">
        <f>wTask[[#This Row],[Variance]]</f>
        <v>0.56000000000000005</v>
      </c>
      <c r="C20" s="8">
        <f>wOver[[#This Row],[W1]]/wTask[[#This Row],[W1]]</f>
        <v>1.5480948348856902E-3</v>
      </c>
      <c r="D20" s="5">
        <f>wOver[[#This Row],[W2]]/wTask[[#This Row],[W2]]</f>
        <v>2.1552965157016373E-3</v>
      </c>
      <c r="E20" s="5">
        <f>wOver[[#This Row],[W3]]/wTask[[#This Row],[W3]]</f>
        <v>4.7289780714084902E-3</v>
      </c>
      <c r="F20" s="5">
        <f>wOver[[#This Row],[W4]]/wTask[[#This Row],[W4]]</f>
        <v>3.6942408231174597E-3</v>
      </c>
      <c r="G20" s="5">
        <f>wOver[[#This Row],[W5]]/wTask[[#This Row],[W5]]</f>
        <v>6.2814486379114643E-3</v>
      </c>
      <c r="H20" s="5">
        <f>wOver[[#This Row],[W6]]/wTask[[#This Row],[W6]]</f>
        <v>6.9812063570999375E-3</v>
      </c>
      <c r="I20" s="8">
        <f>AVERAGE(Table3[[#This Row],[W1]:[W6]])</f>
        <v>4.2315442066874461E-3</v>
      </c>
      <c r="J20" s="5">
        <f>_xlfn.STDEV.P(Table3[[#This Row],[W1]:[W6]])</f>
        <v>1.9920923045748124E-3</v>
      </c>
      <c r="K20" s="12">
        <f>wTask[[#This Row],[Average]]</f>
        <v>142.44716666666667</v>
      </c>
      <c r="L20" s="11">
        <f>wOver[[#This Row],[Mean]]</f>
        <v>0.60393766666666659</v>
      </c>
    </row>
    <row r="21" spans="1:12" x14ac:dyDescent="0.25">
      <c r="A21" s="3" t="str">
        <f>wTask[[#This Row],[Heuristic]]</f>
        <v>LCFS</v>
      </c>
      <c r="B21" s="4">
        <f>wTask[[#This Row],[Variance]]</f>
        <v>1</v>
      </c>
      <c r="C21" s="8">
        <f>wOver[[#This Row],[W1]]/wTask[[#This Row],[W1]]</f>
        <v>5.6938549615522761E-3</v>
      </c>
      <c r="D21" s="5">
        <f>wOver[[#This Row],[W2]]/wTask[[#This Row],[W2]]</f>
        <v>8.1862798719435255E-3</v>
      </c>
      <c r="E21" s="5">
        <f>wOver[[#This Row],[W3]]/wTask[[#This Row],[W3]]</f>
        <v>7.665936737877444E-3</v>
      </c>
      <c r="F21" s="5">
        <f>wOver[[#This Row],[W4]]/wTask[[#This Row],[W4]]</f>
        <v>8.6103251883152682E-3</v>
      </c>
      <c r="G21" s="5">
        <f>wOver[[#This Row],[W5]]/wTask[[#This Row],[W5]]</f>
        <v>7.443923559053045E-3</v>
      </c>
      <c r="H21" s="5">
        <f>wOver[[#This Row],[W6]]/wTask[[#This Row],[W6]]</f>
        <v>6.1992679020819027E-3</v>
      </c>
      <c r="I21" s="8">
        <f>AVERAGE(Table3[[#This Row],[W1]:[W6]])</f>
        <v>7.2999313701372437E-3</v>
      </c>
      <c r="J21" s="5">
        <f>_xlfn.STDEV.P(Table3[[#This Row],[W1]:[W6]])</f>
        <v>1.0366919186513114E-3</v>
      </c>
      <c r="K21" s="12">
        <f>wTask[[#This Row],[Average]]</f>
        <v>137.12816666666666</v>
      </c>
      <c r="L21" s="11">
        <f>wOver[[#This Row],[Mean]]</f>
        <v>1.0004373333333334</v>
      </c>
    </row>
    <row r="22" spans="1:12" x14ac:dyDescent="0.25">
      <c r="A22" s="16" t="str">
        <f>wTask[[#This Row],[Heuristic]]</f>
        <v>SJF</v>
      </c>
      <c r="B22" s="17">
        <f>wTask[[#This Row],[Variance]]</f>
        <v>0</v>
      </c>
      <c r="C22" s="18">
        <f>wOver[[#This Row],[W1]]/wTask[[#This Row],[W1]]</f>
        <v>2.7013892097521911E-3</v>
      </c>
      <c r="D22" s="19">
        <f>wOver[[#This Row],[W2]]/wTask[[#This Row],[W2]]</f>
        <v>4.0704134866944288E-3</v>
      </c>
      <c r="E22" s="19">
        <f>wOver[[#This Row],[W3]]/wTask[[#This Row],[W3]]</f>
        <v>5.4392316647264268E-3</v>
      </c>
      <c r="F22" s="19">
        <f>wOver[[#This Row],[W4]]/wTask[[#This Row],[W4]]</f>
        <v>6.8135888637300907E-3</v>
      </c>
      <c r="G22" s="19">
        <f>wOver[[#This Row],[W5]]/wTask[[#This Row],[W5]]</f>
        <v>1.3518367472568061E-3</v>
      </c>
      <c r="H22" s="19">
        <f>wOver[[#This Row],[W6]]/wTask[[#This Row],[W6]]</f>
        <v>8.1335294345318727E-3</v>
      </c>
      <c r="I22" s="18">
        <f>AVERAGE(Table3[[#This Row],[W1]:[W6]])</f>
        <v>4.7516649011153022E-3</v>
      </c>
      <c r="J22" s="19">
        <f>_xlfn.STDEV.P(Table3[[#This Row],[W1]:[W6]])</f>
        <v>2.3233543129285599E-3</v>
      </c>
      <c r="K22" s="20">
        <f>wTask[[#This Row],[Average]]</f>
        <v>129.26033333333336</v>
      </c>
      <c r="L22" s="21">
        <f>wOver[[#This Row],[Mean]]</f>
        <v>0.61326483333333337</v>
      </c>
    </row>
    <row r="23" spans="1:12" x14ac:dyDescent="0.25">
      <c r="A23" s="3" t="str">
        <f>wTask[[#This Row],[Heuristic]]</f>
        <v>SJF</v>
      </c>
      <c r="B23" s="4">
        <f>wTask[[#This Row],[Variance]]</f>
        <v>0.01</v>
      </c>
      <c r="C23" s="8">
        <f>wOver[[#This Row],[W1]]/wTask[[#This Row],[W1]]</f>
        <v>1.3440339471327909E-3</v>
      </c>
      <c r="D23" s="5">
        <f>wOver[[#This Row],[W2]]/wTask[[#This Row],[W2]]</f>
        <v>2.7332929886746777E-3</v>
      </c>
      <c r="E23" s="5">
        <f>wOver[[#This Row],[W3]]/wTask[[#This Row],[W3]]</f>
        <v>5.4964342376022995E-3</v>
      </c>
      <c r="F23" s="5">
        <f>wOver[[#This Row],[W4]]/wTask[[#This Row],[W4]]</f>
        <v>4.1268943713479028E-3</v>
      </c>
      <c r="G23" s="5">
        <f>wOver[[#This Row],[W5]]/wTask[[#This Row],[W5]]</f>
        <v>8.2820379064510521E-3</v>
      </c>
      <c r="H23" s="5">
        <f>wOver[[#This Row],[W6]]/wTask[[#This Row],[W6]]</f>
        <v>6.8922636915876804E-3</v>
      </c>
      <c r="I23" s="8">
        <f>AVERAGE(Table3[[#This Row],[W1]:[W6]])</f>
        <v>4.8124928571327344E-3</v>
      </c>
      <c r="J23" s="5">
        <f>_xlfn.STDEV.P(Table3[[#This Row],[W1]:[W6]])</f>
        <v>2.3683429499716225E-3</v>
      </c>
      <c r="K23" s="12">
        <f>wTask[[#This Row],[Average]]</f>
        <v>127.26500000000003</v>
      </c>
      <c r="L23" s="11">
        <f>wOver[[#This Row],[Mean]]</f>
        <v>0.61126566666666671</v>
      </c>
    </row>
    <row r="24" spans="1:12" x14ac:dyDescent="0.25">
      <c r="A24" s="3" t="str">
        <f>wTask[[#This Row],[Heuristic]]</f>
        <v>SJF</v>
      </c>
      <c r="B24" s="4">
        <f>wTask[[#This Row],[Variance]]</f>
        <v>1.7999999999999999E-2</v>
      </c>
      <c r="C24" s="8">
        <f>wOver[[#This Row],[W1]]/wTask[[#This Row],[W1]]</f>
        <v>1.4351685993526286E-3</v>
      </c>
      <c r="D24" s="5">
        <f>wOver[[#This Row],[W2]]/wTask[[#This Row],[W2]]</f>
        <v>4.1641707299725781E-3</v>
      </c>
      <c r="E24" s="5">
        <f>wOver[[#This Row],[W3]]/wTask[[#This Row],[W3]]</f>
        <v>2.7472474830765366E-3</v>
      </c>
      <c r="F24" s="5">
        <f>wOver[[#This Row],[W4]]/wTask[[#This Row],[W4]]</f>
        <v>6.9138000267701775E-3</v>
      </c>
      <c r="G24" s="5">
        <f>wOver[[#This Row],[W5]]/wTask[[#This Row],[W5]]</f>
        <v>5.5556667480911219E-3</v>
      </c>
      <c r="H24" s="5">
        <f>wOver[[#This Row],[W6]]/wTask[[#This Row],[W6]]</f>
        <v>8.3146492001511529E-3</v>
      </c>
      <c r="I24" s="8">
        <f>AVERAGE(Table3[[#This Row],[W1]:[W6]])</f>
        <v>4.8551171312356993E-3</v>
      </c>
      <c r="J24" s="5">
        <f>_xlfn.STDEV.P(Table3[[#This Row],[W1]:[W6]])</f>
        <v>2.3563346009454035E-3</v>
      </c>
      <c r="K24" s="12">
        <f>wTask[[#This Row],[Average]]</f>
        <v>127.01650000000001</v>
      </c>
      <c r="L24" s="11">
        <f>wOver[[#This Row],[Mean]]</f>
        <v>0.61645783333333337</v>
      </c>
    </row>
    <row r="25" spans="1:12" x14ac:dyDescent="0.25">
      <c r="A25" s="3" t="str">
        <f>wTask[[#This Row],[Heuristic]]</f>
        <v>SJF</v>
      </c>
      <c r="B25" s="4">
        <f>wTask[[#This Row],[Variance]]</f>
        <v>3.1E-2</v>
      </c>
      <c r="C25" s="8">
        <f>wOver[[#This Row],[W1]]/wTask[[#This Row],[W1]]</f>
        <v>1.3581375108790252E-3</v>
      </c>
      <c r="D25" s="5">
        <f>wOver[[#This Row],[W2]]/wTask[[#This Row],[W2]]</f>
        <v>2.7555571127149854E-3</v>
      </c>
      <c r="E25" s="5">
        <f>wOver[[#This Row],[W3]]/wTask[[#This Row],[W3]]</f>
        <v>4.1124080400910023E-3</v>
      </c>
      <c r="F25" s="5">
        <f>wOver[[#This Row],[W4]]/wTask[[#This Row],[W4]]</f>
        <v>5.5659635267426072E-3</v>
      </c>
      <c r="G25" s="5">
        <f>wOver[[#This Row],[W5]]/wTask[[#This Row],[W5]]</f>
        <v>6.8545437552571739E-3</v>
      </c>
      <c r="H25" s="5">
        <f>wOver[[#This Row],[W6]]/wTask[[#This Row],[W6]]</f>
        <v>8.2395177662985108E-3</v>
      </c>
      <c r="I25" s="8">
        <f>AVERAGE(Table3[[#This Row],[W1]:[W6]])</f>
        <v>4.8143546186638839E-3</v>
      </c>
      <c r="J25" s="5">
        <f>_xlfn.STDEV.P(Table3[[#This Row],[W1]:[W6]])</f>
        <v>2.3500298975937602E-3</v>
      </c>
      <c r="K25" s="12">
        <f>wTask[[#This Row],[Average]]</f>
        <v>128.06433333333331</v>
      </c>
      <c r="L25" s="11">
        <f>wOver[[#This Row],[Mean]]</f>
        <v>0.61582416666666662</v>
      </c>
    </row>
    <row r="26" spans="1:12" x14ac:dyDescent="0.25">
      <c r="A26" s="3" t="str">
        <f>wTask[[#This Row],[Heuristic]]</f>
        <v>SJF</v>
      </c>
      <c r="B26" s="4">
        <f>wTask[[#This Row],[Variance]]</f>
        <v>5.6000000000000001E-2</v>
      </c>
      <c r="C26" s="8">
        <f>wOver[[#This Row],[W1]]/wTask[[#This Row],[W1]]</f>
        <v>1.383919253594181E-3</v>
      </c>
      <c r="D26" s="5">
        <f>wOver[[#This Row],[W2]]/wTask[[#This Row],[W2]]</f>
        <v>6.8857088703563312E-3</v>
      </c>
      <c r="E26" s="5">
        <f>wOver[[#This Row],[W3]]/wTask[[#This Row],[W3]]</f>
        <v>2.8256269623004589E-3</v>
      </c>
      <c r="F26" s="5">
        <f>wOver[[#This Row],[W4]]/wTask[[#This Row],[W4]]</f>
        <v>4.2243782110704363E-3</v>
      </c>
      <c r="G26" s="5">
        <f>wOver[[#This Row],[W5]]/wTask[[#This Row],[W5]]</f>
        <v>5.5267039935559788E-3</v>
      </c>
      <c r="H26" s="5">
        <f>wOver[[#This Row],[W6]]/wTask[[#This Row],[W6]]</f>
        <v>8.3012790221466161E-3</v>
      </c>
      <c r="I26" s="8">
        <f>AVERAGE(Table3[[#This Row],[W1]:[W6]])</f>
        <v>4.8579360521706673E-3</v>
      </c>
      <c r="J26" s="5">
        <f>_xlfn.STDEV.P(Table3[[#This Row],[W1]:[W6]])</f>
        <v>2.3457831834329318E-3</v>
      </c>
      <c r="K26" s="12">
        <f>wTask[[#This Row],[Average]]</f>
        <v>127.37966666666665</v>
      </c>
      <c r="L26" s="11">
        <f>wOver[[#This Row],[Mean]]</f>
        <v>0.61731533333333333</v>
      </c>
    </row>
    <row r="27" spans="1:12" x14ac:dyDescent="0.25">
      <c r="A27" s="3" t="str">
        <f>wTask[[#This Row],[Heuristic]]</f>
        <v>SJF</v>
      </c>
      <c r="B27" s="4">
        <f>wTask[[#This Row],[Variance]]</f>
        <v>0.1</v>
      </c>
      <c r="C27" s="8">
        <f>wOver[[#This Row],[W1]]/wTask[[#This Row],[W1]]</f>
        <v>1.5016481172683911E-3</v>
      </c>
      <c r="D27" s="5">
        <f>wOver[[#This Row],[W2]]/wTask[[#This Row],[W2]]</f>
        <v>2.8834960541501606E-3</v>
      </c>
      <c r="E27" s="5">
        <f>wOver[[#This Row],[W3]]/wTask[[#This Row],[W3]]</f>
        <v>4.3694886461044524E-3</v>
      </c>
      <c r="F27" s="5">
        <f>wOver[[#This Row],[W4]]/wTask[[#This Row],[W4]]</f>
        <v>5.8490465157725897E-3</v>
      </c>
      <c r="G27" s="5">
        <f>wOver[[#This Row],[W5]]/wTask[[#This Row],[W5]]</f>
        <v>7.0853213214144492E-3</v>
      </c>
      <c r="H27" s="5">
        <f>wOver[[#This Row],[W6]]/wTask[[#This Row],[W6]]</f>
        <v>8.4642217622845992E-3</v>
      </c>
      <c r="I27" s="8">
        <f>AVERAGE(Table3[[#This Row],[W1]:[W6]])</f>
        <v>5.025537069499107E-3</v>
      </c>
      <c r="J27" s="5">
        <f>_xlfn.STDEV.P(Table3[[#This Row],[W1]:[W6]])</f>
        <v>2.3868376561839736E-3</v>
      </c>
      <c r="K27" s="12">
        <f>wTask[[#This Row],[Average]]</f>
        <v>128.75599999999997</v>
      </c>
      <c r="L27" s="11">
        <f>wOver[[#This Row],[Mean]]</f>
        <v>0.64745583333333323</v>
      </c>
    </row>
    <row r="28" spans="1:12" x14ac:dyDescent="0.25">
      <c r="A28" s="3" t="str">
        <f>wTask[[#This Row],[Heuristic]]</f>
        <v>SJF</v>
      </c>
      <c r="B28" s="4">
        <f>wTask[[#This Row],[Variance]]</f>
        <v>0.18</v>
      </c>
      <c r="C28" s="8">
        <f>wOver[[#This Row],[W1]]/wTask[[#This Row],[W1]]</f>
        <v>1.1987751800639373E-3</v>
      </c>
      <c r="D28" s="5">
        <f>wOver[[#This Row],[W2]]/wTask[[#This Row],[W2]]</f>
        <v>2.5224331757025217E-3</v>
      </c>
      <c r="E28" s="5">
        <f>wOver[[#This Row],[W3]]/wTask[[#This Row],[W3]]</f>
        <v>3.844918834434627E-3</v>
      </c>
      <c r="F28" s="5">
        <f>wOver[[#This Row],[W4]]/wTask[[#This Row],[W4]]</f>
        <v>5.3669047070567461E-3</v>
      </c>
      <c r="G28" s="5">
        <f>wOver[[#This Row],[W5]]/wTask[[#This Row],[W5]]</f>
        <v>6.5312859914509434E-3</v>
      </c>
      <c r="H28" s="5">
        <f>wOver[[#This Row],[W6]]/wTask[[#This Row],[W6]]</f>
        <v>8.0120762810649507E-3</v>
      </c>
      <c r="I28" s="8">
        <f>AVERAGE(Table3[[#This Row],[W1]:[W6]])</f>
        <v>4.5793990282956207E-3</v>
      </c>
      <c r="J28" s="5">
        <f>_xlfn.STDEV.P(Table3[[#This Row],[W1]:[W6]])</f>
        <v>2.3242378073194117E-3</v>
      </c>
      <c r="K28" s="12">
        <f>wTask[[#This Row],[Average]]</f>
        <v>129.28316666666666</v>
      </c>
      <c r="L28" s="11">
        <f>wOver[[#This Row],[Mean]]</f>
        <v>0.59187033333333339</v>
      </c>
    </row>
    <row r="29" spans="1:12" x14ac:dyDescent="0.25">
      <c r="A29" s="3" t="str">
        <f>wTask[[#This Row],[Heuristic]]</f>
        <v>SJF</v>
      </c>
      <c r="B29" s="4">
        <f>wTask[[#This Row],[Variance]]</f>
        <v>0.31</v>
      </c>
      <c r="C29" s="8">
        <f>wOver[[#This Row],[W1]]/wTask[[#This Row],[W1]]</f>
        <v>3.1127155023989352E-3</v>
      </c>
      <c r="D29" s="5">
        <f>wOver[[#This Row],[W2]]/wTask[[#This Row],[W2]]</f>
        <v>6.4936844046283634E-3</v>
      </c>
      <c r="E29" s="5">
        <f>wOver[[#This Row],[W3]]/wTask[[#This Row],[W3]]</f>
        <v>3.9513224214871639E-3</v>
      </c>
      <c r="F29" s="5">
        <f>wOver[[#This Row],[W4]]/wTask[[#This Row],[W4]]</f>
        <v>5.8539457385419508E-3</v>
      </c>
      <c r="G29" s="5">
        <f>wOver[[#This Row],[W5]]/wTask[[#This Row],[W5]]</f>
        <v>4.5639150801753646E-3</v>
      </c>
      <c r="H29" s="5">
        <f>wOver[[#This Row],[W6]]/wTask[[#This Row],[W6]]</f>
        <v>8.4063064492967219E-3</v>
      </c>
      <c r="I29" s="8">
        <f>AVERAGE(Table3[[#This Row],[W1]:[W6]])</f>
        <v>5.3969815994214174E-3</v>
      </c>
      <c r="J29" s="5">
        <f>_xlfn.STDEV.P(Table3[[#This Row],[W1]:[W6]])</f>
        <v>1.7544900116419669E-3</v>
      </c>
      <c r="K29" s="12">
        <f>wTask[[#This Row],[Average]]</f>
        <v>131.7148333333333</v>
      </c>
      <c r="L29" s="11">
        <f>wOver[[#This Row],[Mean]]</f>
        <v>0.71115500000000009</v>
      </c>
    </row>
    <row r="30" spans="1:12" x14ac:dyDescent="0.25">
      <c r="A30" s="3" t="str">
        <f>wTask[[#This Row],[Heuristic]]</f>
        <v>SJF</v>
      </c>
      <c r="B30" s="4">
        <f>wTask[[#This Row],[Variance]]</f>
        <v>0.56000000000000005</v>
      </c>
      <c r="C30" s="8">
        <f>wOver[[#This Row],[W1]]/wTask[[#This Row],[W1]]</f>
        <v>4.9013636779216396E-3</v>
      </c>
      <c r="D30" s="5">
        <f>wOver[[#This Row],[W2]]/wTask[[#This Row],[W2]]</f>
        <v>3.7058129303481893E-3</v>
      </c>
      <c r="E30" s="5">
        <f>wOver[[#This Row],[W3]]/wTask[[#This Row],[W3]]</f>
        <v>7.1920455736902804E-3</v>
      </c>
      <c r="F30" s="5">
        <f>wOver[[#This Row],[W4]]/wTask[[#This Row],[W4]]</f>
        <v>1.517848251825625E-3</v>
      </c>
      <c r="G30" s="5">
        <f>wOver[[#This Row],[W5]]/wTask[[#This Row],[W5]]</f>
        <v>2.1714827568997358E-3</v>
      </c>
      <c r="H30" s="5">
        <f>wOver[[#This Row],[W6]]/wTask[[#This Row],[W6]]</f>
        <v>6.5269777796684676E-3</v>
      </c>
      <c r="I30" s="8">
        <f>AVERAGE(Table3[[#This Row],[W1]:[W6]])</f>
        <v>4.335921828392323E-3</v>
      </c>
      <c r="J30" s="5">
        <f>_xlfn.STDEV.P(Table3[[#This Row],[W1]:[W6]])</f>
        <v>2.0936915530476341E-3</v>
      </c>
      <c r="K30" s="12">
        <f>wTask[[#This Row],[Average]]</f>
        <v>142.39349999999999</v>
      </c>
      <c r="L30" s="11">
        <f>wOver[[#This Row],[Mean]]</f>
        <v>0.61685933333333332</v>
      </c>
    </row>
    <row r="31" spans="1:12" x14ac:dyDescent="0.25">
      <c r="A31" s="3" t="str">
        <f>wTask[[#This Row],[Heuristic]]</f>
        <v>SJF</v>
      </c>
      <c r="B31" s="4">
        <f>wTask[[#This Row],[Variance]]</f>
        <v>1</v>
      </c>
      <c r="C31" s="8">
        <f>wOver[[#This Row],[W1]]/wTask[[#This Row],[W1]]</f>
        <v>7.5753850182960977E-3</v>
      </c>
      <c r="D31" s="5">
        <f>wOver[[#This Row],[W2]]/wTask[[#This Row],[W2]]</f>
        <v>8.8023190463513475E-3</v>
      </c>
      <c r="E31" s="5">
        <f>wOver[[#This Row],[W3]]/wTask[[#This Row],[W3]]</f>
        <v>8.2946351259904957E-3</v>
      </c>
      <c r="F31" s="5">
        <f>wOver[[#This Row],[W4]]/wTask[[#This Row],[W4]]</f>
        <v>7.4189386207902022E-3</v>
      </c>
      <c r="G31" s="5">
        <f>wOver[[#This Row],[W5]]/wTask[[#This Row],[W5]]</f>
        <v>5.6566461585619513E-3</v>
      </c>
      <c r="H31" s="5">
        <f>wOver[[#This Row],[W6]]/wTask[[#This Row],[W6]]</f>
        <v>5.7587298597426674E-3</v>
      </c>
      <c r="I31" s="8">
        <f>AVERAGE(Table3[[#This Row],[W1]:[W6]])</f>
        <v>7.2511089716221283E-3</v>
      </c>
      <c r="J31" s="5">
        <f>_xlfn.STDEV.P(Table3[[#This Row],[W1]:[W6]])</f>
        <v>1.1830770862588612E-3</v>
      </c>
      <c r="K31" s="12">
        <f>wTask[[#This Row],[Average]]</f>
        <v>137.05850000000001</v>
      </c>
      <c r="L31" s="11">
        <f>wOver[[#This Row],[Mean]]</f>
        <v>0.99321116666666676</v>
      </c>
    </row>
    <row r="32" spans="1:12" x14ac:dyDescent="0.25">
      <c r="A32" s="16" t="str">
        <f>wTask[[#This Row],[Heuristic]]</f>
        <v>LJF</v>
      </c>
      <c r="B32" s="17">
        <f>wTask[[#This Row],[Variance]]</f>
        <v>0</v>
      </c>
      <c r="C32" s="18">
        <f>wOver[[#This Row],[W1]]/wTask[[#This Row],[W1]]</f>
        <v>1.3610082575487628E-3</v>
      </c>
      <c r="D32" s="19">
        <f>wOver[[#This Row],[W2]]/wTask[[#This Row],[W2]]</f>
        <v>2.7134084563685719E-3</v>
      </c>
      <c r="E32" s="19">
        <f>wOver[[#This Row],[W3]]/wTask[[#This Row],[W3]]</f>
        <v>4.1104397107680282E-3</v>
      </c>
      <c r="F32" s="19">
        <f>wOver[[#This Row],[W4]]/wTask[[#This Row],[W4]]</f>
        <v>6.8331851019675762E-3</v>
      </c>
      <c r="G32" s="19">
        <f>wOver[[#This Row],[W5]]/wTask[[#This Row],[W5]]</f>
        <v>5.4647490877335241E-3</v>
      </c>
      <c r="H32" s="19">
        <f>wOver[[#This Row],[W6]]/wTask[[#This Row],[W6]]</f>
        <v>8.250094203353639E-3</v>
      </c>
      <c r="I32" s="18">
        <f>AVERAGE(Table3[[#This Row],[W1]:[W6]])</f>
        <v>4.7888141362900172E-3</v>
      </c>
      <c r="J32" s="19">
        <f>_xlfn.STDEV.P(Table3[[#This Row],[W1]:[W6]])</f>
        <v>2.3499700049974346E-3</v>
      </c>
      <c r="K32" s="20">
        <f>wTask[[#This Row],[Average]]</f>
        <v>128.35533333333333</v>
      </c>
      <c r="L32" s="21">
        <f>wOver[[#This Row],[Mean]]</f>
        <v>0.61333766666666667</v>
      </c>
    </row>
    <row r="33" spans="1:12" x14ac:dyDescent="0.25">
      <c r="A33" s="3" t="str">
        <f>wTask[[#This Row],[Heuristic]]</f>
        <v>LJF</v>
      </c>
      <c r="B33" s="4">
        <f>wTask[[#This Row],[Variance]]</f>
        <v>0.01</v>
      </c>
      <c r="C33" s="8">
        <f>wOver[[#This Row],[W1]]/wTask[[#This Row],[W1]]</f>
        <v>1.3550161659917758E-3</v>
      </c>
      <c r="D33" s="5">
        <f>wOver[[#This Row],[W2]]/wTask[[#This Row],[W2]]</f>
        <v>2.7226876282041247E-3</v>
      </c>
      <c r="E33" s="5">
        <f>wOver[[#This Row],[W3]]/wTask[[#This Row],[W3]]</f>
        <v>4.1093154181641653E-3</v>
      </c>
      <c r="F33" s="5">
        <f>wOver[[#This Row],[W4]]/wTask[[#This Row],[W4]]</f>
        <v>5.5148544500307336E-3</v>
      </c>
      <c r="G33" s="5">
        <f>wOver[[#This Row],[W5]]/wTask[[#This Row],[W5]]</f>
        <v>6.8622501804034763E-3</v>
      </c>
      <c r="H33" s="5">
        <f>wOver[[#This Row],[W6]]/wTask[[#This Row],[W6]]</f>
        <v>8.2857301007417256E-3</v>
      </c>
      <c r="I33" s="8">
        <f>AVERAGE(Table3[[#This Row],[W1]:[W6]])</f>
        <v>4.8083089905893335E-3</v>
      </c>
      <c r="J33" s="5">
        <f>_xlfn.STDEV.P(Table3[[#This Row],[W1]:[W6]])</f>
        <v>2.3655153874209646E-3</v>
      </c>
      <c r="K33" s="12">
        <f>wTask[[#This Row],[Average]]</f>
        <v>127.28649999999999</v>
      </c>
      <c r="L33" s="11">
        <f>wOver[[#This Row],[Mean]]</f>
        <v>0.61129566666666657</v>
      </c>
    </row>
    <row r="34" spans="1:12" x14ac:dyDescent="0.25">
      <c r="A34" s="3" t="str">
        <f>wTask[[#This Row],[Heuristic]]</f>
        <v>LJF</v>
      </c>
      <c r="B34" s="4">
        <f>wTask[[#This Row],[Variance]]</f>
        <v>1.7999999999999999E-2</v>
      </c>
      <c r="C34" s="8">
        <f>wOver[[#This Row],[W1]]/wTask[[#This Row],[W1]]</f>
        <v>1.425169324885296E-3</v>
      </c>
      <c r="D34" s="5">
        <f>wOver[[#This Row],[W2]]/wTask[[#This Row],[W2]]</f>
        <v>6.8457934088552424E-3</v>
      </c>
      <c r="E34" s="5">
        <f>wOver[[#This Row],[W3]]/wTask[[#This Row],[W3]]</f>
        <v>4.0957367414524931E-3</v>
      </c>
      <c r="F34" s="5">
        <f>wOver[[#This Row],[W4]]/wTask[[#This Row],[W4]]</f>
        <v>5.4911324178862674E-3</v>
      </c>
      <c r="G34" s="5">
        <f>wOver[[#This Row],[W5]]/wTask[[#This Row],[W5]]</f>
        <v>2.7115667881231101E-3</v>
      </c>
      <c r="H34" s="5">
        <f>wOver[[#This Row],[W6]]/wTask[[#This Row],[W6]]</f>
        <v>8.2236688417872336E-3</v>
      </c>
      <c r="I34" s="8">
        <f>AVERAGE(Table3[[#This Row],[W1]:[W6]])</f>
        <v>4.7988445871649408E-3</v>
      </c>
      <c r="J34" s="5">
        <f>_xlfn.STDEV.P(Table3[[#This Row],[W1]:[W6]])</f>
        <v>2.3320755105923079E-3</v>
      </c>
      <c r="K34" s="12">
        <f>wTask[[#This Row],[Average]]</f>
        <v>128.47566666666668</v>
      </c>
      <c r="L34" s="11">
        <f>wOver[[#This Row],[Mean]]</f>
        <v>0.61640383333333337</v>
      </c>
    </row>
    <row r="35" spans="1:12" x14ac:dyDescent="0.25">
      <c r="A35" s="3" t="str">
        <f>wTask[[#This Row],[Heuristic]]</f>
        <v>LJF</v>
      </c>
      <c r="B35" s="4">
        <f>wTask[[#This Row],[Variance]]</f>
        <v>3.1E-2</v>
      </c>
      <c r="C35" s="8">
        <f>wOver[[#This Row],[W1]]/wTask[[#This Row],[W1]]</f>
        <v>1.3556154300090068E-3</v>
      </c>
      <c r="D35" s="5">
        <f>wOver[[#This Row],[W2]]/wTask[[#This Row],[W2]]</f>
        <v>2.750754300289278E-3</v>
      </c>
      <c r="E35" s="5">
        <f>wOver[[#This Row],[W3]]/wTask[[#This Row],[W3]]</f>
        <v>4.1120433504316274E-3</v>
      </c>
      <c r="F35" s="5">
        <f>wOver[[#This Row],[W4]]/wTask[[#This Row],[W4]]</f>
        <v>5.5531966564563769E-3</v>
      </c>
      <c r="G35" s="5">
        <f>wOver[[#This Row],[W5]]/wTask[[#This Row],[W5]]</f>
        <v>6.9047921718182314E-3</v>
      </c>
      <c r="H35" s="5">
        <f>wOver[[#This Row],[W6]]/wTask[[#This Row],[W6]]</f>
        <v>8.2008926481374565E-3</v>
      </c>
      <c r="I35" s="8">
        <f>AVERAGE(Table3[[#This Row],[W1]:[W6]])</f>
        <v>4.8128824261903297E-3</v>
      </c>
      <c r="J35" s="5">
        <f>_xlfn.STDEV.P(Table3[[#This Row],[W1]:[W6]])</f>
        <v>2.3487233308059352E-3</v>
      </c>
      <c r="K35" s="12">
        <f>wTask[[#This Row],[Average]]</f>
        <v>128.08600000000001</v>
      </c>
      <c r="L35" s="11">
        <f>wOver[[#This Row],[Mean]]</f>
        <v>0.6156666666666667</v>
      </c>
    </row>
    <row r="36" spans="1:12" x14ac:dyDescent="0.25">
      <c r="A36" s="3" t="str">
        <f>wTask[[#This Row],[Heuristic]]</f>
        <v>LJF</v>
      </c>
      <c r="B36" s="4">
        <f>wTask[[#This Row],[Variance]]</f>
        <v>5.6000000000000001E-2</v>
      </c>
      <c r="C36" s="8">
        <f>wOver[[#This Row],[W1]]/wTask[[#This Row],[W1]]</f>
        <v>2.8105362663587972E-3</v>
      </c>
      <c r="D36" s="5">
        <f>wOver[[#This Row],[W2]]/wTask[[#This Row],[W2]]</f>
        <v>1.3681787031547175E-3</v>
      </c>
      <c r="E36" s="5">
        <f>wOver[[#This Row],[W3]]/wTask[[#This Row],[W3]]</f>
        <v>4.1533198977661443E-3</v>
      </c>
      <c r="F36" s="5">
        <f>wOver[[#This Row],[W4]]/wTask[[#This Row],[W4]]</f>
        <v>5.4392511016639594E-3</v>
      </c>
      <c r="G36" s="5">
        <f>wOver[[#This Row],[W5]]/wTask[[#This Row],[W5]]</f>
        <v>6.7740724913562013E-3</v>
      </c>
      <c r="H36" s="5">
        <f>wOver[[#This Row],[W6]]/wTask[[#This Row],[W6]]</f>
        <v>8.1743163380849707E-3</v>
      </c>
      <c r="I36" s="8">
        <f>AVERAGE(Table3[[#This Row],[W1]:[W6]])</f>
        <v>4.7866124663974649E-3</v>
      </c>
      <c r="J36" s="5">
        <f>_xlfn.STDEV.P(Table3[[#This Row],[W1]:[W6]])</f>
        <v>2.3037685821576093E-3</v>
      </c>
      <c r="K36" s="12">
        <f>wTask[[#This Row],[Average]]</f>
        <v>129.12450000000001</v>
      </c>
      <c r="L36" s="11">
        <f>wOver[[#This Row],[Mean]]</f>
        <v>0.61733216666666657</v>
      </c>
    </row>
    <row r="37" spans="1:12" x14ac:dyDescent="0.25">
      <c r="A37" s="3" t="str">
        <f>wTask[[#This Row],[Heuristic]]</f>
        <v>LJF</v>
      </c>
      <c r="B37" s="4">
        <f>wTask[[#This Row],[Variance]]</f>
        <v>0.1</v>
      </c>
      <c r="C37" s="8">
        <f>wOver[[#This Row],[W1]]/wTask[[#This Row],[W1]]</f>
        <v>1.4851686306379521E-3</v>
      </c>
      <c r="D37" s="5">
        <f>wOver[[#This Row],[W2]]/wTask[[#This Row],[W2]]</f>
        <v>2.8482842079299501E-3</v>
      </c>
      <c r="E37" s="5">
        <f>wOver[[#This Row],[W3]]/wTask[[#This Row],[W3]]</f>
        <v>4.315392961854265E-3</v>
      </c>
      <c r="F37" s="5">
        <f>wOver[[#This Row],[W4]]/wTask[[#This Row],[W4]]</f>
        <v>5.8402166344294001E-3</v>
      </c>
      <c r="G37" s="5">
        <f>wOver[[#This Row],[W5]]/wTask[[#This Row],[W5]]</f>
        <v>7.0477901766779006E-3</v>
      </c>
      <c r="H37" s="5">
        <f>wOver[[#This Row],[W6]]/wTask[[#This Row],[W6]]</f>
        <v>8.4106506050079712E-3</v>
      </c>
      <c r="I37" s="8">
        <f>AVERAGE(Table3[[#This Row],[W1]:[W6]])</f>
        <v>4.9912505360895738E-3</v>
      </c>
      <c r="J37" s="5">
        <f>_xlfn.STDEV.P(Table3[[#This Row],[W1]:[W6]])</f>
        <v>2.3799192574809865E-3</v>
      </c>
      <c r="K37" s="12">
        <f>wTask[[#This Row],[Average]]</f>
        <v>129.81199999999998</v>
      </c>
      <c r="L37" s="11">
        <f>wOver[[#This Row],[Mean]]</f>
        <v>0.64745716666666664</v>
      </c>
    </row>
    <row r="38" spans="1:12" x14ac:dyDescent="0.25">
      <c r="A38" s="3" t="str">
        <f>wTask[[#This Row],[Heuristic]]</f>
        <v>LJF</v>
      </c>
      <c r="B38" s="4">
        <f>wTask[[#This Row],[Variance]]</f>
        <v>0.18</v>
      </c>
      <c r="C38" s="8">
        <f>wOver[[#This Row],[W1]]/wTask[[#This Row],[W1]]</f>
        <v>5.3677829764676053E-3</v>
      </c>
      <c r="D38" s="5">
        <f>wOver[[#This Row],[W2]]/wTask[[#This Row],[W2]]</f>
        <v>7.9453997518170554E-3</v>
      </c>
      <c r="E38" s="5">
        <f>wOver[[#This Row],[W3]]/wTask[[#This Row],[W3]]</f>
        <v>6.5307946226334868E-3</v>
      </c>
      <c r="F38" s="5">
        <f>wOver[[#This Row],[W4]]/wTask[[#This Row],[W4]]</f>
        <v>1.1903238888081229E-3</v>
      </c>
      <c r="G38" s="5">
        <f>wOver[[#This Row],[W5]]/wTask[[#This Row],[W5]]</f>
        <v>2.4903422334017953E-3</v>
      </c>
      <c r="H38" s="5">
        <f>wOver[[#This Row],[W6]]/wTask[[#This Row],[W6]]</f>
        <v>3.8252857098851002E-3</v>
      </c>
      <c r="I38" s="8">
        <f>AVERAGE(Table3[[#This Row],[W1]:[W6]])</f>
        <v>4.558321530502194E-3</v>
      </c>
      <c r="J38" s="5">
        <f>_xlfn.STDEV.P(Table3[[#This Row],[W1]:[W6]])</f>
        <v>2.3157239620686053E-3</v>
      </c>
      <c r="K38" s="12">
        <f>wTask[[#This Row],[Average]]</f>
        <v>129.9675</v>
      </c>
      <c r="L38" s="11">
        <f>wOver[[#This Row],[Mean]]</f>
        <v>0.5917283333333333</v>
      </c>
    </row>
    <row r="39" spans="1:12" x14ac:dyDescent="0.25">
      <c r="A39" s="3" t="str">
        <f>wTask[[#This Row],[Heuristic]]</f>
        <v>LJF</v>
      </c>
      <c r="B39" s="4">
        <f>wTask[[#This Row],[Variance]]</f>
        <v>0.31</v>
      </c>
      <c r="C39" s="8">
        <f>wOver[[#This Row],[W1]]/wTask[[#This Row],[W1]]</f>
        <v>4.5272362961914624E-3</v>
      </c>
      <c r="D39" s="5">
        <f>wOver[[#This Row],[W2]]/wTask[[#This Row],[W2]]</f>
        <v>6.3156454855998146E-3</v>
      </c>
      <c r="E39" s="5">
        <f>wOver[[#This Row],[W3]]/wTask[[#This Row],[W3]]</f>
        <v>8.3388574770910506E-3</v>
      </c>
      <c r="F39" s="5">
        <f>wOver[[#This Row],[W4]]/wTask[[#This Row],[W4]]</f>
        <v>3.0314859114519287E-3</v>
      </c>
      <c r="G39" s="5">
        <f>wOver[[#This Row],[W5]]/wTask[[#This Row],[W5]]</f>
        <v>3.9130587243440054E-3</v>
      </c>
      <c r="H39" s="5">
        <f>wOver[[#This Row],[W6]]/wTask[[#This Row],[W6]]</f>
        <v>5.7874603233877293E-3</v>
      </c>
      <c r="I39" s="8">
        <f>AVERAGE(Table3[[#This Row],[W1]:[W6]])</f>
        <v>5.3189573696776652E-3</v>
      </c>
      <c r="J39" s="5">
        <f>_xlfn.STDEV.P(Table3[[#This Row],[W1]:[W6]])</f>
        <v>1.7401426094893016E-3</v>
      </c>
      <c r="K39" s="12">
        <f>wTask[[#This Row],[Average]]</f>
        <v>133.91716666666667</v>
      </c>
      <c r="L39" s="11">
        <f>wOver[[#This Row],[Mean]]</f>
        <v>0.71181816666666664</v>
      </c>
    </row>
    <row r="40" spans="1:12" x14ac:dyDescent="0.25">
      <c r="A40" s="3" t="str">
        <f>wTask[[#This Row],[Heuristic]]</f>
        <v>LJF</v>
      </c>
      <c r="B40" s="4">
        <f>wTask[[#This Row],[Variance]]</f>
        <v>0.56000000000000005</v>
      </c>
      <c r="C40" s="8">
        <f>wOver[[#This Row],[W1]]/wTask[[#This Row],[W1]]</f>
        <v>3.6617964435189721E-3</v>
      </c>
      <c r="D40" s="5">
        <f>wOver[[#This Row],[W2]]/wTask[[#This Row],[W2]]</f>
        <v>1.5105247594880996E-3</v>
      </c>
      <c r="E40" s="5">
        <f>wOver[[#This Row],[W3]]/wTask[[#This Row],[W3]]</f>
        <v>4.5427479019434632E-3</v>
      </c>
      <c r="F40" s="5">
        <f>wOver[[#This Row],[W4]]/wTask[[#This Row],[W4]]</f>
        <v>2.0979376122545884E-3</v>
      </c>
      <c r="G40" s="5">
        <f>wOver[[#This Row],[W5]]/wTask[[#This Row],[W5]]</f>
        <v>6.3153661165934157E-3</v>
      </c>
      <c r="H40" s="5">
        <f>wOver[[#This Row],[W6]]/wTask[[#This Row],[W6]]</f>
        <v>6.9945566844882802E-3</v>
      </c>
      <c r="I40" s="8">
        <f>AVERAGE(Table3[[#This Row],[W1]:[W6]])</f>
        <v>4.1871549197144697E-3</v>
      </c>
      <c r="J40" s="5">
        <f>_xlfn.STDEV.P(Table3[[#This Row],[W1]:[W6]])</f>
        <v>2.014216697930006E-3</v>
      </c>
      <c r="K40" s="12">
        <f>wTask[[#This Row],[Average]]</f>
        <v>144.99199999999999</v>
      </c>
      <c r="L40" s="11">
        <f>wOver[[#This Row],[Mean]]</f>
        <v>0.60649816666666678</v>
      </c>
    </row>
    <row r="41" spans="1:12" x14ac:dyDescent="0.25">
      <c r="A41" s="3" t="str">
        <f>wTask[[#This Row],[Heuristic]]</f>
        <v>LJF</v>
      </c>
      <c r="B41" s="4">
        <f>wTask[[#This Row],[Variance]]</f>
        <v>1</v>
      </c>
      <c r="C41" s="8">
        <f>wOver[[#This Row],[W1]]/wTask[[#This Row],[W1]]</f>
        <v>8.4609916346533604E-3</v>
      </c>
      <c r="D41" s="5">
        <f>wOver[[#This Row],[W2]]/wTask[[#This Row],[W2]]</f>
        <v>5.0188069161378945E-3</v>
      </c>
      <c r="E41" s="5">
        <f>wOver[[#This Row],[W3]]/wTask[[#This Row],[W3]]</f>
        <v>7.4683734831815013E-3</v>
      </c>
      <c r="F41" s="5">
        <f>wOver[[#This Row],[W4]]/wTask[[#This Row],[W4]]</f>
        <v>7.6948051948051944E-3</v>
      </c>
      <c r="G41" s="5">
        <f>wOver[[#This Row],[W5]]/wTask[[#This Row],[W5]]</f>
        <v>7.2993784010496202E-3</v>
      </c>
      <c r="H41" s="5">
        <f>wOver[[#This Row],[W6]]/wTask[[#This Row],[W6]]</f>
        <v>5.904274507558406E-3</v>
      </c>
      <c r="I41" s="8">
        <f>AVERAGE(Table3[[#This Row],[W1]:[W6]])</f>
        <v>6.9744383562309964E-3</v>
      </c>
      <c r="J41" s="5">
        <f>_xlfn.STDEV.P(Table3[[#This Row],[W1]:[W6]])</f>
        <v>1.1581646375878772E-3</v>
      </c>
      <c r="K41" s="12">
        <f>wTask[[#This Row],[Average]]</f>
        <v>139.548</v>
      </c>
      <c r="L41" s="11">
        <f>wOver[[#This Row],[Mean]]</f>
        <v>0.97308199999999989</v>
      </c>
    </row>
    <row r="42" spans="1:12" x14ac:dyDescent="0.25">
      <c r="A42" s="16" t="str">
        <f>wTask[[#This Row],[Heuristic]]</f>
        <v>RR</v>
      </c>
      <c r="B42" s="17">
        <f>wTask[[#This Row],[Variance]]</f>
        <v>0</v>
      </c>
      <c r="C42" s="18">
        <f>wOver[[#This Row],[W1]]/wTask[[#This Row],[W1]]</f>
        <v>3.09450528756466E-3</v>
      </c>
      <c r="D42" s="19">
        <f>wOver[[#This Row],[W2]]/wTask[[#This Row],[W2]]</f>
        <v>6.2522456069384795E-3</v>
      </c>
      <c r="E42" s="19">
        <f>wOver[[#This Row],[W3]]/wTask[[#This Row],[W3]]</f>
        <v>7.0207844259948466E-3</v>
      </c>
      <c r="F42" s="19">
        <f>wOver[[#This Row],[W4]]/wTask[[#This Row],[W4]]</f>
        <v>3.9652819813653E-3</v>
      </c>
      <c r="G42" s="19">
        <f>wOver[[#This Row],[W5]]/wTask[[#This Row],[W5]]</f>
        <v>4.8875584470656503E-3</v>
      </c>
      <c r="H42" s="19">
        <f>wOver[[#This Row],[W6]]/wTask[[#This Row],[W6]]</f>
        <v>7.9223936630349375E-3</v>
      </c>
      <c r="I42" s="18">
        <f>AVERAGE(Table3[[#This Row],[W1]:[W6]])</f>
        <v>5.5237949019939789E-3</v>
      </c>
      <c r="J42" s="19">
        <f>_xlfn.STDEV.P(Table3[[#This Row],[W1]:[W6]])</f>
        <v>1.6960788828987367E-3</v>
      </c>
      <c r="K42" s="20">
        <f>wTask[[#This Row],[Average]]</f>
        <v>174.25649999999999</v>
      </c>
      <c r="L42" s="21">
        <f>wOver[[#This Row],[Mean]]</f>
        <v>0.96352649999999995</v>
      </c>
    </row>
    <row r="43" spans="1:12" x14ac:dyDescent="0.25">
      <c r="A43" s="3" t="str">
        <f>wTask[[#This Row],[Heuristic]]</f>
        <v>RR</v>
      </c>
      <c r="B43" s="4">
        <f>wTask[[#This Row],[Variance]]</f>
        <v>0.01</v>
      </c>
      <c r="C43" s="8">
        <f>wOver[[#This Row],[W1]]/wTask[[#This Row],[W1]]</f>
        <v>9.8612636733946628E-4</v>
      </c>
      <c r="D43" s="5">
        <f>wOver[[#This Row],[W2]]/wTask[[#This Row],[W2]]</f>
        <v>3.9811211252219038E-3</v>
      </c>
      <c r="E43" s="5">
        <f>wOver[[#This Row],[W3]]/wTask[[#This Row],[W3]]</f>
        <v>5.1429302104093544E-3</v>
      </c>
      <c r="F43" s="5">
        <f>wOver[[#This Row],[W4]]/wTask[[#This Row],[W4]]</f>
        <v>7.0019242367672825E-3</v>
      </c>
      <c r="G43" s="5">
        <f>wOver[[#This Row],[W5]]/wTask[[#This Row],[W5]]</f>
        <v>7.9799705347878679E-3</v>
      </c>
      <c r="H43" s="5">
        <f>wOver[[#This Row],[W6]]/wTask[[#This Row],[W6]]</f>
        <v>6.0044009695886117E-3</v>
      </c>
      <c r="I43" s="8">
        <f>AVERAGE(Table3[[#This Row],[W1]:[W6]])</f>
        <v>5.1827455740190813E-3</v>
      </c>
      <c r="J43" s="5">
        <f>_xlfn.STDEV.P(Table3[[#This Row],[W1]:[W6]])</f>
        <v>2.2681157900415021E-3</v>
      </c>
      <c r="K43" s="12">
        <f>wTask[[#This Row],[Average]]</f>
        <v>173.94766666666666</v>
      </c>
      <c r="L43" s="11">
        <f>wOver[[#This Row],[Mean]]</f>
        <v>0.90095233333333347</v>
      </c>
    </row>
    <row r="44" spans="1:12" x14ac:dyDescent="0.25">
      <c r="A44" s="3" t="str">
        <f>wTask[[#This Row],[Heuristic]]</f>
        <v>RR</v>
      </c>
      <c r="B44" s="4">
        <f>wTask[[#This Row],[Variance]]</f>
        <v>1.7999999999999999E-2</v>
      </c>
      <c r="C44" s="8">
        <f>wOver[[#This Row],[W1]]/wTask[[#This Row],[W1]]</f>
        <v>2.0411414024044889E-3</v>
      </c>
      <c r="D44" s="5">
        <f>wOver[[#This Row],[W2]]/wTask[[#This Row],[W2]]</f>
        <v>3.0472297910990008E-3</v>
      </c>
      <c r="E44" s="5">
        <f>wOver[[#This Row],[W3]]/wTask[[#This Row],[W3]]</f>
        <v>7.2527927917261136E-3</v>
      </c>
      <c r="F44" s="5">
        <f>wOver[[#This Row],[W4]]/wTask[[#This Row],[W4]]</f>
        <v>4.0208029030491142E-3</v>
      </c>
      <c r="G44" s="5">
        <f>wOver[[#This Row],[W5]]/wTask[[#This Row],[W5]]</f>
        <v>5.9929512718357343E-3</v>
      </c>
      <c r="H44" s="5">
        <f>wOver[[#This Row],[W6]]/wTask[[#This Row],[W6]]</f>
        <v>7.9447170744744357E-3</v>
      </c>
      <c r="I44" s="8">
        <f>AVERAGE(Table3[[#This Row],[W1]:[W6]])</f>
        <v>5.0499392057648147E-3</v>
      </c>
      <c r="J44" s="5">
        <f>_xlfn.STDEV.P(Table3[[#This Row],[W1]:[W6]])</f>
        <v>2.1696545553679457E-3</v>
      </c>
      <c r="K44" s="12">
        <f>wTask[[#This Row],[Average]]</f>
        <v>173.39366666666669</v>
      </c>
      <c r="L44" s="11">
        <f>wOver[[#This Row],[Mean]]</f>
        <v>0.87654150000000008</v>
      </c>
    </row>
    <row r="45" spans="1:12" x14ac:dyDescent="0.25">
      <c r="A45" s="3" t="str">
        <f>wTask[[#This Row],[Heuristic]]</f>
        <v>RR</v>
      </c>
      <c r="B45" s="4">
        <f>wTask[[#This Row],[Variance]]</f>
        <v>3.1E-2</v>
      </c>
      <c r="C45" s="8">
        <f>wOver[[#This Row],[W1]]/wTask[[#This Row],[W1]]</f>
        <v>9.8956295956142905E-4</v>
      </c>
      <c r="D45" s="5">
        <f>wOver[[#This Row],[W2]]/wTask[[#This Row],[W2]]</f>
        <v>1.9927995943433432E-3</v>
      </c>
      <c r="E45" s="5">
        <f>wOver[[#This Row],[W3]]/wTask[[#This Row],[W3]]</f>
        <v>3.1486588477711358E-3</v>
      </c>
      <c r="F45" s="5">
        <f>wOver[[#This Row],[W4]]/wTask[[#This Row],[W4]]</f>
        <v>5.1027956615045536E-3</v>
      </c>
      <c r="G45" s="5">
        <f>wOver[[#This Row],[W5]]/wTask[[#This Row],[W5]]</f>
        <v>5.9897279210155792E-3</v>
      </c>
      <c r="H45" s="5">
        <f>wOver[[#This Row],[W6]]/wTask[[#This Row],[W6]]</f>
        <v>7.1143798404808695E-3</v>
      </c>
      <c r="I45" s="8">
        <f>AVERAGE(Table3[[#This Row],[W1]:[W6]])</f>
        <v>4.0563208041128184E-3</v>
      </c>
      <c r="J45" s="5">
        <f>_xlfn.STDEV.P(Table3[[#This Row],[W1]:[W6]])</f>
        <v>2.1860112634671542E-3</v>
      </c>
      <c r="K45" s="12">
        <f>wTask[[#This Row],[Average]]</f>
        <v>173.614</v>
      </c>
      <c r="L45" s="11">
        <f>wOver[[#This Row],[Mean]]</f>
        <v>0.70256183333333333</v>
      </c>
    </row>
    <row r="46" spans="1:12" x14ac:dyDescent="0.25">
      <c r="A46" s="3" t="str">
        <f>wTask[[#This Row],[Heuristic]]</f>
        <v>RR</v>
      </c>
      <c r="B46" s="4">
        <f>wTask[[#This Row],[Variance]]</f>
        <v>5.6000000000000001E-2</v>
      </c>
      <c r="C46" s="8">
        <f>wOver[[#This Row],[W1]]/wTask[[#This Row],[W1]]</f>
        <v>1.0098405466970389E-3</v>
      </c>
      <c r="D46" s="5">
        <f>wOver[[#This Row],[W2]]/wTask[[#This Row],[W2]]</f>
        <v>2.0421952098776557E-3</v>
      </c>
      <c r="E46" s="5">
        <f>wOver[[#This Row],[W3]]/wTask[[#This Row],[W3]]</f>
        <v>3.0363544972947325E-3</v>
      </c>
      <c r="F46" s="5">
        <f>wOver[[#This Row],[W4]]/wTask[[#This Row],[W4]]</f>
        <v>4.2197779667251601E-3</v>
      </c>
      <c r="G46" s="5">
        <f>wOver[[#This Row],[W5]]/wTask[[#This Row],[W5]]</f>
        <v>5.1691370907495458E-3</v>
      </c>
      <c r="H46" s="5">
        <f>wOver[[#This Row],[W6]]/wTask[[#This Row],[W6]]</f>
        <v>6.160735163447598E-3</v>
      </c>
      <c r="I46" s="8">
        <f>AVERAGE(Table3[[#This Row],[W1]:[W6]])</f>
        <v>3.6063400791319553E-3</v>
      </c>
      <c r="J46" s="5">
        <f>_xlfn.STDEV.P(Table3[[#This Row],[W1]:[W6]])</f>
        <v>1.7727952196875988E-3</v>
      </c>
      <c r="K46" s="12">
        <f>wTask[[#This Row],[Average]]</f>
        <v>172.62516666666667</v>
      </c>
      <c r="L46" s="11">
        <f>wOver[[#This Row],[Mean]]</f>
        <v>0.61716549999999992</v>
      </c>
    </row>
    <row r="47" spans="1:12" x14ac:dyDescent="0.25">
      <c r="A47" s="3" t="str">
        <f>wTask[[#This Row],[Heuristic]]</f>
        <v>RR</v>
      </c>
      <c r="B47" s="4">
        <f>wTask[[#This Row],[Variance]]</f>
        <v>0.1</v>
      </c>
      <c r="C47" s="8">
        <f>wOver[[#This Row],[W1]]/wTask[[#This Row],[W1]]</f>
        <v>1.0725601343152084E-3</v>
      </c>
      <c r="D47" s="5">
        <f>wOver[[#This Row],[W2]]/wTask[[#This Row],[W2]]</f>
        <v>5.286917536806178E-3</v>
      </c>
      <c r="E47" s="5">
        <f>wOver[[#This Row],[W3]]/wTask[[#This Row],[W3]]</f>
        <v>6.3388726688065567E-3</v>
      </c>
      <c r="F47" s="5">
        <f>wOver[[#This Row],[W4]]/wTask[[#This Row],[W4]]</f>
        <v>7.3262241898270145E-3</v>
      </c>
      <c r="G47" s="5">
        <f>wOver[[#This Row],[W5]]/wTask[[#This Row],[W5]]</f>
        <v>8.4000497559588664E-3</v>
      </c>
      <c r="H47" s="5">
        <f>wOver[[#This Row],[W6]]/wTask[[#This Row],[W6]]</f>
        <v>8.8222944292529991E-3</v>
      </c>
      <c r="I47" s="8">
        <f>AVERAGE(Table3[[#This Row],[W1]:[W6]])</f>
        <v>6.2078197858278046E-3</v>
      </c>
      <c r="J47" s="5">
        <f>_xlfn.STDEV.P(Table3[[#This Row],[W1]:[W6]])</f>
        <v>2.5861266343311672E-3</v>
      </c>
      <c r="K47" s="12">
        <f>wTask[[#This Row],[Average]]</f>
        <v>173.33583333333334</v>
      </c>
      <c r="L47" s="11">
        <f>wOver[[#This Row],[Mean]]</f>
        <v>1.0684931666666666</v>
      </c>
    </row>
    <row r="48" spans="1:12" x14ac:dyDescent="0.25">
      <c r="A48" s="3" t="str">
        <f>wTask[[#This Row],[Heuristic]]</f>
        <v>RR</v>
      </c>
      <c r="B48" s="4">
        <f>wTask[[#This Row],[Variance]]</f>
        <v>0.18</v>
      </c>
      <c r="C48" s="8">
        <f>wOver[[#This Row],[W1]]/wTask[[#This Row],[W1]]</f>
        <v>8.8212161794080273E-4</v>
      </c>
      <c r="D48" s="5">
        <f>wOver[[#This Row],[W2]]/wTask[[#This Row],[W2]]</f>
        <v>1.9679718765585278E-3</v>
      </c>
      <c r="E48" s="5">
        <f>wOver[[#This Row],[W3]]/wTask[[#This Row],[W3]]</f>
        <v>2.8766129219079386E-3</v>
      </c>
      <c r="F48" s="5">
        <f>wOver[[#This Row],[W4]]/wTask[[#This Row],[W4]]</f>
        <v>5.8079473556703646E-3</v>
      </c>
      <c r="G48" s="5">
        <f>wOver[[#This Row],[W5]]/wTask[[#This Row],[W5]]</f>
        <v>7.090075090510883E-3</v>
      </c>
      <c r="H48" s="5">
        <f>wOver[[#This Row],[W6]]/wTask[[#This Row],[W6]]</f>
        <v>7.7447814944851491E-3</v>
      </c>
      <c r="I48" s="8">
        <f>AVERAGE(Table3[[#This Row],[W1]:[W6]])</f>
        <v>4.3949183928456105E-3</v>
      </c>
      <c r="J48" s="5">
        <f>_xlfn.STDEV.P(Table3[[#This Row],[W1]:[W6]])</f>
        <v>2.6146116777403272E-3</v>
      </c>
      <c r="K48" s="12">
        <f>wTask[[#This Row],[Average]]</f>
        <v>174.49083333333331</v>
      </c>
      <c r="L48" s="11">
        <f>wOver[[#This Row],[Mean]]</f>
        <v>0.77460833333333323</v>
      </c>
    </row>
    <row r="49" spans="1:12" x14ac:dyDescent="0.25">
      <c r="A49" s="3" t="str">
        <f>wTask[[#This Row],[Heuristic]]</f>
        <v>RR</v>
      </c>
      <c r="B49" s="4">
        <f>wTask[[#This Row],[Variance]]</f>
        <v>0.31</v>
      </c>
      <c r="C49" s="8">
        <f>wOver[[#This Row],[W1]]/wTask[[#This Row],[W1]]</f>
        <v>2.0553727941349251E-3</v>
      </c>
      <c r="D49" s="5">
        <f>wOver[[#This Row],[W2]]/wTask[[#This Row],[W2]]</f>
        <v>2.2057501125399316E-3</v>
      </c>
      <c r="E49" s="5">
        <f>wOver[[#This Row],[W3]]/wTask[[#This Row],[W3]]</f>
        <v>3.580421104722406E-3</v>
      </c>
      <c r="F49" s="5">
        <f>wOver[[#This Row],[W4]]/wTask[[#This Row],[W4]]</f>
        <v>4.3255955471441085E-3</v>
      </c>
      <c r="G49" s="5">
        <f>wOver[[#This Row],[W5]]/wTask[[#This Row],[W5]]</f>
        <v>4.7149394497460794E-3</v>
      </c>
      <c r="H49" s="5">
        <f>wOver[[#This Row],[W6]]/wTask[[#This Row],[W6]]</f>
        <v>5.9795211564523413E-3</v>
      </c>
      <c r="I49" s="8">
        <f>AVERAGE(Table3[[#This Row],[W1]:[W6]])</f>
        <v>3.8102666941232984E-3</v>
      </c>
      <c r="J49" s="5">
        <f>_xlfn.STDEV.P(Table3[[#This Row],[W1]:[W6]])</f>
        <v>1.3842336387339471E-3</v>
      </c>
      <c r="K49" s="12">
        <f>wTask[[#This Row],[Average]]</f>
        <v>178.10166666666669</v>
      </c>
      <c r="L49" s="11">
        <f>wOver[[#This Row],[Mean]]</f>
        <v>0.68264766666666665</v>
      </c>
    </row>
    <row r="50" spans="1:12" x14ac:dyDescent="0.25">
      <c r="A50" s="3" t="str">
        <f>wTask[[#This Row],[Heuristic]]</f>
        <v>RR</v>
      </c>
      <c r="B50" s="4">
        <f>wTask[[#This Row],[Variance]]</f>
        <v>0.56000000000000005</v>
      </c>
      <c r="C50" s="8">
        <f>wOver[[#This Row],[W1]]/wTask[[#This Row],[W1]]</f>
        <v>1.8223605567599329E-3</v>
      </c>
      <c r="D50" s="5">
        <f>wOver[[#This Row],[W2]]/wTask[[#This Row],[W2]]</f>
        <v>2.6462226298291872E-3</v>
      </c>
      <c r="E50" s="5">
        <f>wOver[[#This Row],[W3]]/wTask[[#This Row],[W3]]</f>
        <v>3.32983604905936E-3</v>
      </c>
      <c r="F50" s="5">
        <f>wOver[[#This Row],[W4]]/wTask[[#This Row],[W4]]</f>
        <v>5.2474322577966458E-3</v>
      </c>
      <c r="G50" s="5">
        <f>wOver[[#This Row],[W5]]/wTask[[#This Row],[W5]]</f>
        <v>8.8963842740440394E-3</v>
      </c>
      <c r="H50" s="5">
        <f>wOver[[#This Row],[W6]]/wTask[[#This Row],[W6]]</f>
        <v>7.630445493412164E-3</v>
      </c>
      <c r="I50" s="8">
        <f>AVERAGE(Table3[[#This Row],[W1]:[W6]])</f>
        <v>4.9287802101502217E-3</v>
      </c>
      <c r="J50" s="5">
        <f>_xlfn.STDEV.P(Table3[[#This Row],[W1]:[W6]])</f>
        <v>2.5999663792318495E-3</v>
      </c>
      <c r="K50" s="12">
        <f>wTask[[#This Row],[Average]]</f>
        <v>190.87366666666665</v>
      </c>
      <c r="L50" s="11">
        <f>wOver[[#This Row],[Mean]]</f>
        <v>0.91512549999999981</v>
      </c>
    </row>
    <row r="51" spans="1:12" x14ac:dyDescent="0.25">
      <c r="A51" s="3" t="str">
        <f>wTask[[#This Row],[Heuristic]]</f>
        <v>RR</v>
      </c>
      <c r="B51" s="4">
        <f>wTask[[#This Row],[Variance]]</f>
        <v>1</v>
      </c>
      <c r="C51" s="8">
        <f>wOver[[#This Row],[W1]]/wTask[[#This Row],[W1]]</f>
        <v>1.0123894113145415E-3</v>
      </c>
      <c r="D51" s="5">
        <f>wOver[[#This Row],[W2]]/wTask[[#This Row],[W2]]</f>
        <v>8.2260260423333374E-3</v>
      </c>
      <c r="E51" s="5">
        <f>wOver[[#This Row],[W3]]/wTask[[#This Row],[W3]]</f>
        <v>7.8137742017377054E-3</v>
      </c>
      <c r="F51" s="5">
        <f>wOver[[#This Row],[W4]]/wTask[[#This Row],[W4]]</f>
        <v>5.214536890492576E-3</v>
      </c>
      <c r="G51" s="5">
        <f>wOver[[#This Row],[W5]]/wTask[[#This Row],[W5]]</f>
        <v>4.0101432104924029E-3</v>
      </c>
      <c r="H51" s="5">
        <f>wOver[[#This Row],[W6]]/wTask[[#This Row],[W6]]</f>
        <v>5.1236245759213959E-3</v>
      </c>
      <c r="I51" s="8">
        <f>AVERAGE(Table3[[#This Row],[W1]:[W6]])</f>
        <v>5.2334157220486595E-3</v>
      </c>
      <c r="J51" s="5">
        <f>_xlfn.STDEV.P(Table3[[#This Row],[W1]:[W6]])</f>
        <v>2.4131526983134609E-3</v>
      </c>
      <c r="K51" s="12">
        <f>wTask[[#This Row],[Average]]</f>
        <v>185.602</v>
      </c>
      <c r="L51" s="11">
        <f>wOver[[#This Row],[Mean]]</f>
        <v>0.97526716666666646</v>
      </c>
    </row>
    <row r="52" spans="1:12" x14ac:dyDescent="0.25">
      <c r="A52" s="16" t="str">
        <f>wTask[[#This Row],[Heuristic]]</f>
        <v>LBW</v>
      </c>
      <c r="B52" s="17">
        <f>wTask[[#This Row],[Variance]]</f>
        <v>0</v>
      </c>
      <c r="C52" s="18">
        <f>wOver[[#This Row],[W1]]/wTask[[#This Row],[W1]]</f>
        <v>1.0135748956776193E-3</v>
      </c>
      <c r="D52" s="19">
        <f>wOver[[#This Row],[W2]]/wTask[[#This Row],[W2]]</f>
        <v>7.5600569593332551E-3</v>
      </c>
      <c r="E52" s="19">
        <f>wOver[[#This Row],[W3]]/wTask[[#This Row],[W3]]</f>
        <v>8.1663286949630563E-3</v>
      </c>
      <c r="F52" s="19">
        <f>wOver[[#This Row],[W4]]/wTask[[#This Row],[W4]]</f>
        <v>9.1929351945795289E-3</v>
      </c>
      <c r="G52" s="19">
        <f>wOver[[#This Row],[W5]]/wTask[[#This Row],[W5]]</f>
        <v>1.0768095896726601E-2</v>
      </c>
      <c r="H52" s="19">
        <f>wOver[[#This Row],[W6]]/wTask[[#This Row],[W6]]</f>
        <v>1.1489198036982487E-2</v>
      </c>
      <c r="I52" s="18">
        <f>AVERAGE(Table3[[#This Row],[W1]:[W6]])</f>
        <v>8.0316982797104235E-3</v>
      </c>
      <c r="J52" s="19">
        <f>_xlfn.STDEV.P(Table3[[#This Row],[W1]:[W6]])</f>
        <v>3.4226031608438337E-3</v>
      </c>
      <c r="K52" s="20">
        <f>wTask[[#This Row],[Average]]</f>
        <v>168.16133333333332</v>
      </c>
      <c r="L52" s="21">
        <f>wOver[[#This Row],[Mean]]</f>
        <v>1.3430788333333334</v>
      </c>
    </row>
    <row r="53" spans="1:12" x14ac:dyDescent="0.25">
      <c r="A53" s="3" t="str">
        <f>wTask[[#This Row],[Heuristic]]</f>
        <v>LBW</v>
      </c>
      <c r="B53" s="4">
        <f>wTask[[#This Row],[Variance]]</f>
        <v>0.01</v>
      </c>
      <c r="C53" s="8">
        <f>wOver[[#This Row],[W1]]/wTask[[#This Row],[W1]]</f>
        <v>9.8180574945155126E-4</v>
      </c>
      <c r="D53" s="5">
        <f>wOver[[#This Row],[W2]]/wTask[[#This Row],[W2]]</f>
        <v>4.0020474224209913E-3</v>
      </c>
      <c r="E53" s="5">
        <f>wOver[[#This Row],[W3]]/wTask[[#This Row],[W3]]</f>
        <v>7.2212647252181024E-3</v>
      </c>
      <c r="F53" s="5">
        <f>wOver[[#This Row],[W4]]/wTask[[#This Row],[W4]]</f>
        <v>8.1894274941620056E-3</v>
      </c>
      <c r="G53" s="5">
        <f>wOver[[#This Row],[W5]]/wTask[[#This Row],[W5]]</f>
        <v>9.1550613846792736E-3</v>
      </c>
      <c r="H53" s="5">
        <f>wOver[[#This Row],[W6]]/wTask[[#This Row],[W6]]</f>
        <v>1.2669313051119664E-2</v>
      </c>
      <c r="I53" s="8">
        <f>AVERAGE(Table3[[#This Row],[W1]:[W6]])</f>
        <v>7.036486637841931E-3</v>
      </c>
      <c r="J53" s="5">
        <f>_xlfn.STDEV.P(Table3[[#This Row],[W1]:[W6]])</f>
        <v>3.7293317080527729E-3</v>
      </c>
      <c r="K53" s="12">
        <f>wTask[[#This Row],[Average]]</f>
        <v>170.86250000000004</v>
      </c>
      <c r="L53" s="11">
        <f>wOver[[#This Row],[Mean]]</f>
        <v>1.189891</v>
      </c>
    </row>
    <row r="54" spans="1:12" x14ac:dyDescent="0.25">
      <c r="A54" s="3" t="str">
        <f>wTask[[#This Row],[Heuristic]]</f>
        <v>LBW</v>
      </c>
      <c r="B54" s="4">
        <f>wTask[[#This Row],[Variance]]</f>
        <v>1.7999999999999999E-2</v>
      </c>
      <c r="C54" s="8">
        <f>wOver[[#This Row],[W1]]/wTask[[#This Row],[W1]]</f>
        <v>3.0362724468913039E-3</v>
      </c>
      <c r="D54" s="5">
        <f>wOver[[#This Row],[W2]]/wTask[[#This Row],[W2]]</f>
        <v>5.1284258978013504E-3</v>
      </c>
      <c r="E54" s="5">
        <f>wOver[[#This Row],[W3]]/wTask[[#This Row],[W3]]</f>
        <v>6.0409552409552416E-3</v>
      </c>
      <c r="F54" s="5">
        <f>wOver[[#This Row],[W4]]/wTask[[#This Row],[W4]]</f>
        <v>7.2755452888115585E-3</v>
      </c>
      <c r="G54" s="5">
        <f>wOver[[#This Row],[W5]]/wTask[[#This Row],[W5]]</f>
        <v>9.2993544203048076E-3</v>
      </c>
      <c r="H54" s="5">
        <f>wOver[[#This Row],[W6]]/wTask[[#This Row],[W6]]</f>
        <v>1.114570102307106E-2</v>
      </c>
      <c r="I54" s="8">
        <f>AVERAGE(Table3[[#This Row],[W1]:[W6]])</f>
        <v>6.9877090529725542E-3</v>
      </c>
      <c r="J54" s="5">
        <f>_xlfn.STDEV.P(Table3[[#This Row],[W1]:[W6]])</f>
        <v>2.6671638841637819E-3</v>
      </c>
      <c r="K54" s="12">
        <f>wTask[[#This Row],[Average]]</f>
        <v>171.78366666666668</v>
      </c>
      <c r="L54" s="11">
        <f>wOver[[#This Row],[Mean]]</f>
        <v>1.1989555000000001</v>
      </c>
    </row>
    <row r="55" spans="1:12" x14ac:dyDescent="0.25">
      <c r="A55" s="3" t="str">
        <f>wTask[[#This Row],[Heuristic]]</f>
        <v>LBW</v>
      </c>
      <c r="B55" s="4">
        <f>wTask[[#This Row],[Variance]]</f>
        <v>3.1E-2</v>
      </c>
      <c r="C55" s="8">
        <f>wOver[[#This Row],[W1]]/wTask[[#This Row],[W1]]</f>
        <v>2.9815399976173321E-3</v>
      </c>
      <c r="D55" s="5">
        <f>wOver[[#This Row],[W2]]/wTask[[#This Row],[W2]]</f>
        <v>5.2745109793601221E-3</v>
      </c>
      <c r="E55" s="5">
        <f>wOver[[#This Row],[W3]]/wTask[[#This Row],[W3]]</f>
        <v>6.0083923120019204E-3</v>
      </c>
      <c r="F55" s="5">
        <f>wOver[[#This Row],[W4]]/wTask[[#This Row],[W4]]</f>
        <v>6.9940065331629024E-3</v>
      </c>
      <c r="G55" s="5">
        <f>wOver[[#This Row],[W5]]/wTask[[#This Row],[W5]]</f>
        <v>9.3355086985050274E-3</v>
      </c>
      <c r="H55" s="5">
        <f>wOver[[#This Row],[W6]]/wTask[[#This Row],[W6]]</f>
        <v>1.1028631356952102E-2</v>
      </c>
      <c r="I55" s="8">
        <f>AVERAGE(Table3[[#This Row],[W1]:[W6]])</f>
        <v>6.9370983129332341E-3</v>
      </c>
      <c r="J55" s="5">
        <f>_xlfn.STDEV.P(Table3[[#This Row],[W1]:[W6]])</f>
        <v>2.6384776746334569E-3</v>
      </c>
      <c r="K55" s="12">
        <f>wTask[[#This Row],[Average]]</f>
        <v>172.94899999999998</v>
      </c>
      <c r="L55" s="11">
        <f>wOver[[#This Row],[Mean]]</f>
        <v>1.1985386666666666</v>
      </c>
    </row>
    <row r="56" spans="1:12" x14ac:dyDescent="0.25">
      <c r="A56" s="3" t="str">
        <f>wTask[[#This Row],[Heuristic]]</f>
        <v>LBW</v>
      </c>
      <c r="B56" s="4">
        <f>wTask[[#This Row],[Variance]]</f>
        <v>5.6000000000000001E-2</v>
      </c>
      <c r="C56" s="8">
        <f>wOver[[#This Row],[W1]]/wTask[[#This Row],[W1]]</f>
        <v>3.152866353633751E-3</v>
      </c>
      <c r="D56" s="5">
        <f>wOver[[#This Row],[W2]]/wTask[[#This Row],[W2]]</f>
        <v>6.0675938851834617E-3</v>
      </c>
      <c r="E56" s="5">
        <f>wOver[[#This Row],[W3]]/wTask[[#This Row],[W3]]</f>
        <v>4.0502019386106621E-3</v>
      </c>
      <c r="F56" s="5">
        <f>wOver[[#This Row],[W4]]/wTask[[#This Row],[W4]]</f>
        <v>8.1702760232294485E-3</v>
      </c>
      <c r="G56" s="5">
        <f>wOver[[#This Row],[W5]]/wTask[[#This Row],[W5]]</f>
        <v>1.0188308621067062E-2</v>
      </c>
      <c r="H56" s="5">
        <f>wOver[[#This Row],[W6]]/wTask[[#This Row],[W6]]</f>
        <v>1.131150876703409E-2</v>
      </c>
      <c r="I56" s="8">
        <f>AVERAGE(Table3[[#This Row],[W1]:[W6]])</f>
        <v>7.1567925981264116E-3</v>
      </c>
      <c r="J56" s="5">
        <f>_xlfn.STDEV.P(Table3[[#This Row],[W1]:[W6]])</f>
        <v>3.0096397688065494E-3</v>
      </c>
      <c r="K56" s="12">
        <f>wTask[[#This Row],[Average]]</f>
        <v>172.85116666666667</v>
      </c>
      <c r="L56" s="11">
        <f>wOver[[#This Row],[Mean]]</f>
        <v>1.2374783333333332</v>
      </c>
    </row>
    <row r="57" spans="1:12" x14ac:dyDescent="0.25">
      <c r="A57" s="3" t="str">
        <f>wTask[[#This Row],[Heuristic]]</f>
        <v>LBW</v>
      </c>
      <c r="B57" s="4">
        <f>wTask[[#This Row],[Variance]]</f>
        <v>0.1</v>
      </c>
      <c r="C57" s="8">
        <f>wOver[[#This Row],[W1]]/wTask[[#This Row],[W1]]</f>
        <v>3.2188911397925983E-3</v>
      </c>
      <c r="D57" s="5">
        <f>wOver[[#This Row],[W2]]/wTask[[#This Row],[W2]]</f>
        <v>6.2090117336729127E-3</v>
      </c>
      <c r="E57" s="5">
        <f>wOver[[#This Row],[W3]]/wTask[[#This Row],[W3]]</f>
        <v>4.2804100214875749E-3</v>
      </c>
      <c r="F57" s="5">
        <f>wOver[[#This Row],[W4]]/wTask[[#This Row],[W4]]</f>
        <v>7.2039240746817734E-3</v>
      </c>
      <c r="G57" s="5">
        <f>wOver[[#This Row],[W5]]/wTask[[#This Row],[W5]]</f>
        <v>1.0269103878733839E-2</v>
      </c>
      <c r="H57" s="5">
        <f>wOver[[#This Row],[W6]]/wTask[[#This Row],[W6]]</f>
        <v>1.0863871659217369E-2</v>
      </c>
      <c r="I57" s="8">
        <f>AVERAGE(Table3[[#This Row],[W1]:[W6]])</f>
        <v>7.0075354179310115E-3</v>
      </c>
      <c r="J57" s="5">
        <f>_xlfn.STDEV.P(Table3[[#This Row],[W1]:[W6]])</f>
        <v>2.827731865040174E-3</v>
      </c>
      <c r="K57" s="12">
        <f>wTask[[#This Row],[Average]]</f>
        <v>173.97766666666666</v>
      </c>
      <c r="L57" s="11">
        <f>wOver[[#This Row],[Mean]]</f>
        <v>1.2154163333333334</v>
      </c>
    </row>
    <row r="58" spans="1:12" x14ac:dyDescent="0.25">
      <c r="A58" s="3" t="str">
        <f>wTask[[#This Row],[Heuristic]]</f>
        <v>LBW</v>
      </c>
      <c r="B58" s="4">
        <f>wTask[[#This Row],[Variance]]</f>
        <v>0.18</v>
      </c>
      <c r="C58" s="8">
        <f>wOver[[#This Row],[W1]]/wTask[[#This Row],[W1]]</f>
        <v>1.8960006561103203E-3</v>
      </c>
      <c r="D58" s="5">
        <f>wOver[[#This Row],[W2]]/wTask[[#This Row],[W2]]</f>
        <v>7.1597543022488457E-3</v>
      </c>
      <c r="E58" s="5">
        <f>wOver[[#This Row],[W3]]/wTask[[#This Row],[W3]]</f>
        <v>7.7447113458489212E-3</v>
      </c>
      <c r="F58" s="5">
        <f>wOver[[#This Row],[W4]]/wTask[[#This Row],[W4]]</f>
        <v>9.0613844194268808E-3</v>
      </c>
      <c r="G58" s="5">
        <f>wOver[[#This Row],[W5]]/wTask[[#This Row],[W5]]</f>
        <v>5.824972885032538E-3</v>
      </c>
      <c r="H58" s="5">
        <f>wOver[[#This Row],[W6]]/wTask[[#This Row],[W6]]</f>
        <v>1.0804211647164105E-2</v>
      </c>
      <c r="I58" s="8">
        <f>AVERAGE(Table3[[#This Row],[W1]:[W6]])</f>
        <v>7.0818392093052697E-3</v>
      </c>
      <c r="J58" s="5">
        <f>_xlfn.STDEV.P(Table3[[#This Row],[W1]:[W6]])</f>
        <v>2.7896463483464088E-3</v>
      </c>
      <c r="K58" s="12">
        <f>wTask[[#This Row],[Average]]</f>
        <v>175.6453333333333</v>
      </c>
      <c r="L58" s="11">
        <f>wOver[[#This Row],[Mean]]</f>
        <v>1.2484488333333335</v>
      </c>
    </row>
    <row r="59" spans="1:12" x14ac:dyDescent="0.25">
      <c r="A59" s="3" t="str">
        <f>wTask[[#This Row],[Heuristic]]</f>
        <v>LBW</v>
      </c>
      <c r="B59" s="4">
        <f>wTask[[#This Row],[Variance]]</f>
        <v>0.31</v>
      </c>
      <c r="C59" s="8">
        <f>wOver[[#This Row],[W1]]/wTask[[#This Row],[W1]]</f>
        <v>4.3406984432963116E-3</v>
      </c>
      <c r="D59" s="5">
        <f>wOver[[#This Row],[W2]]/wTask[[#This Row],[W2]]</f>
        <v>4.587135938144778E-3</v>
      </c>
      <c r="E59" s="5">
        <f>wOver[[#This Row],[W3]]/wTask[[#This Row],[W3]]</f>
        <v>6.3938243919268592E-3</v>
      </c>
      <c r="F59" s="5">
        <f>wOver[[#This Row],[W4]]/wTask[[#This Row],[W4]]</f>
        <v>7.3317874526013932E-3</v>
      </c>
      <c r="G59" s="5">
        <f>wOver[[#This Row],[W5]]/wTask[[#This Row],[W5]]</f>
        <v>9.8071694292442644E-3</v>
      </c>
      <c r="H59" s="5">
        <f>wOver[[#This Row],[W6]]/wTask[[#This Row],[W6]]</f>
        <v>1.2225276548672566E-2</v>
      </c>
      <c r="I59" s="8">
        <f>AVERAGE(Table3[[#This Row],[W1]:[W6]])</f>
        <v>7.4476487006476947E-3</v>
      </c>
      <c r="J59" s="5">
        <f>_xlfn.STDEV.P(Table3[[#This Row],[W1]:[W6]])</f>
        <v>2.809291387267359E-3</v>
      </c>
      <c r="K59" s="12">
        <f>wTask[[#This Row],[Average]]</f>
        <v>178.61283333333333</v>
      </c>
      <c r="L59" s="11">
        <f>wOver[[#This Row],[Mean]]</f>
        <v>1.3291411666666666</v>
      </c>
    </row>
    <row r="60" spans="1:12" x14ac:dyDescent="0.25">
      <c r="A60" s="3" t="str">
        <f>wTask[[#This Row],[Heuristic]]</f>
        <v>LBW</v>
      </c>
      <c r="B60" s="4">
        <f>wTask[[#This Row],[Variance]]</f>
        <v>0.56000000000000005</v>
      </c>
      <c r="C60" s="8">
        <f>wOver[[#This Row],[W1]]/wTask[[#This Row],[W1]]</f>
        <v>2.6967033748140474E-3</v>
      </c>
      <c r="D60" s="5">
        <f>wOver[[#This Row],[W2]]/wTask[[#This Row],[W2]]</f>
        <v>5.2957469200119369E-3</v>
      </c>
      <c r="E60" s="5">
        <f>wOver[[#This Row],[W3]]/wTask[[#This Row],[W3]]</f>
        <v>6.4499046382339815E-3</v>
      </c>
      <c r="F60" s="5">
        <f>wOver[[#This Row],[W4]]/wTask[[#This Row],[W4]]</f>
        <v>3.346225078433357E-3</v>
      </c>
      <c r="G60" s="5">
        <f>wOver[[#This Row],[W5]]/wTask[[#This Row],[W5]]</f>
        <v>9.4375034098968854E-3</v>
      </c>
      <c r="H60" s="5">
        <f>wOver[[#This Row],[W6]]/wTask[[#This Row],[W6]]</f>
        <v>1.0836426511774787E-2</v>
      </c>
      <c r="I60" s="8">
        <f>AVERAGE(Table3[[#This Row],[W1]:[W6]])</f>
        <v>6.3437516555274994E-3</v>
      </c>
      <c r="J60" s="5">
        <f>_xlfn.STDEV.P(Table3[[#This Row],[W1]:[W6]])</f>
        <v>2.9763270543087545E-3</v>
      </c>
      <c r="K60" s="12">
        <f>wTask[[#This Row],[Average]]</f>
        <v>193.19516666666667</v>
      </c>
      <c r="L60" s="11">
        <f>wOver[[#This Row],[Mean]]</f>
        <v>1.2164101666666667</v>
      </c>
    </row>
    <row r="61" spans="1:12" x14ac:dyDescent="0.25">
      <c r="A61" s="3" t="str">
        <f>wTask[[#This Row],[Heuristic]]</f>
        <v>LBW</v>
      </c>
      <c r="B61" s="4">
        <f>wTask[[#This Row],[Variance]]</f>
        <v>1</v>
      </c>
      <c r="C61" s="8">
        <f>wOver[[#This Row],[W1]]/wTask[[#This Row],[W1]]</f>
        <v>9.2787153545315418E-4</v>
      </c>
      <c r="D61" s="5">
        <f>wOver[[#This Row],[W2]]/wTask[[#This Row],[W2]]</f>
        <v>1.4005551634413812E-3</v>
      </c>
      <c r="E61" s="5">
        <f>wOver[[#This Row],[W3]]/wTask[[#This Row],[W3]]</f>
        <v>6.4822827921036013E-3</v>
      </c>
      <c r="F61" s="5">
        <f>wOver[[#This Row],[W4]]/wTask[[#This Row],[W4]]</f>
        <v>8.5818262617941773E-3</v>
      </c>
      <c r="G61" s="5">
        <f>wOver[[#This Row],[W5]]/wTask[[#This Row],[W5]]</f>
        <v>1.6402156874363683E-2</v>
      </c>
      <c r="H61" s="5">
        <f>wOver[[#This Row],[W6]]/wTask[[#This Row],[W6]]</f>
        <v>1.704373443846564E-2</v>
      </c>
      <c r="I61" s="8">
        <f>AVERAGE(Table3[[#This Row],[W1]:[W6]])</f>
        <v>8.4730711776036059E-3</v>
      </c>
      <c r="J61" s="5">
        <f>_xlfn.STDEV.P(Table3[[#This Row],[W1]:[W6]])</f>
        <v>6.4194009999937289E-3</v>
      </c>
      <c r="K61" s="12">
        <f>wTask[[#This Row],[Average]]</f>
        <v>187.22416666666666</v>
      </c>
      <c r="L61" s="11">
        <f>wOver[[#This Row],[Mean]]</f>
        <v>1.5703698333333334</v>
      </c>
    </row>
    <row r="62" spans="1:12" x14ac:dyDescent="0.25">
      <c r="A62" s="16" t="str">
        <f>wTask[[#This Row],[Heuristic]]</f>
        <v>WS</v>
      </c>
      <c r="B62" s="17">
        <f>wTask[[#This Row],[Variance]]</f>
        <v>0</v>
      </c>
      <c r="C62" s="18">
        <f>wOver[[#This Row],[W1]]/wTask[[#This Row],[W1]]</f>
        <v>6.0220739925732365E-3</v>
      </c>
      <c r="D62" s="19">
        <f>wOver[[#This Row],[W2]]/wTask[[#This Row],[W2]]</f>
        <v>7.4935986307231497E-3</v>
      </c>
      <c r="E62" s="19">
        <f>wOver[[#This Row],[W3]]/wTask[[#This Row],[W3]]</f>
        <v>9.0211735613827202E-3</v>
      </c>
      <c r="F62" s="19">
        <f>wOver[[#This Row],[W4]]/wTask[[#This Row],[W4]]</f>
        <v>1.4955368180539332E-3</v>
      </c>
      <c r="G62" s="19">
        <f>wOver[[#This Row],[W5]]/wTask[[#This Row],[W5]]</f>
        <v>4.4925254493704964E-3</v>
      </c>
      <c r="H62" s="19">
        <f>wOver[[#This Row],[W6]]/wTask[[#This Row],[W6]]</f>
        <v>3.0193192193071609E-3</v>
      </c>
      <c r="I62" s="18">
        <f>AVERAGE(Table3[[#This Row],[W1]:[W6]])</f>
        <v>5.257371278568449E-3</v>
      </c>
      <c r="J62" s="19">
        <f>_xlfn.STDEV.P(Table3[[#This Row],[W1]:[W6]])</f>
        <v>2.5657018307592714E-3</v>
      </c>
      <c r="K62" s="20">
        <f>wTask[[#This Row],[Average]]</f>
        <v>116.67399999999999</v>
      </c>
      <c r="L62" s="21">
        <f>wOver[[#This Row],[Mean]]</f>
        <v>0.61307466666666655</v>
      </c>
    </row>
    <row r="63" spans="1:12" x14ac:dyDescent="0.25">
      <c r="A63" s="3" t="str">
        <f>wTask[[#This Row],[Heuristic]]</f>
        <v>WS</v>
      </c>
      <c r="B63" s="4">
        <f>wTask[[#This Row],[Variance]]</f>
        <v>0.01</v>
      </c>
      <c r="C63" s="8">
        <f>wOver[[#This Row],[W1]]/wTask[[#This Row],[W1]]</f>
        <v>4.2364570210291688E-3</v>
      </c>
      <c r="D63" s="5">
        <f>wOver[[#This Row],[W2]]/wTask[[#This Row],[W2]]</f>
        <v>7.0256548245367437E-3</v>
      </c>
      <c r="E63" s="5">
        <f>wOver[[#This Row],[W3]]/wTask[[#This Row],[W3]]</f>
        <v>5.6611263958569347E-3</v>
      </c>
      <c r="F63" s="5">
        <f>wOver[[#This Row],[W4]]/wTask[[#This Row],[W4]]</f>
        <v>1.3792896472245343E-3</v>
      </c>
      <c r="G63" s="5">
        <f>wOver[[#This Row],[W5]]/wTask[[#This Row],[W5]]</f>
        <v>2.7993442517299993E-3</v>
      </c>
      <c r="H63" s="5">
        <f>wOver[[#This Row],[W6]]/wTask[[#This Row],[W6]]</f>
        <v>8.4734577685763278E-3</v>
      </c>
      <c r="I63" s="8">
        <f>AVERAGE(Table3[[#This Row],[W1]:[W6]])</f>
        <v>4.9292216514922847E-3</v>
      </c>
      <c r="J63" s="5">
        <f>_xlfn.STDEV.P(Table3[[#This Row],[W1]:[W6]])</f>
        <v>2.4190440282499687E-3</v>
      </c>
      <c r="K63" s="12">
        <f>wTask[[#This Row],[Average]]</f>
        <v>124.10733333333333</v>
      </c>
      <c r="L63" s="11">
        <f>wOver[[#This Row],[Mean]]</f>
        <v>0.61107950000000011</v>
      </c>
    </row>
    <row r="64" spans="1:12" x14ac:dyDescent="0.25">
      <c r="A64" s="3" t="str">
        <f>wTask[[#This Row],[Heuristic]]</f>
        <v>WS</v>
      </c>
      <c r="B64" s="4">
        <f>wTask[[#This Row],[Variance]]</f>
        <v>1.7999999999999999E-2</v>
      </c>
      <c r="C64" s="8">
        <f>wOver[[#This Row],[W1]]/wTask[[#This Row],[W1]]</f>
        <v>4.1464432182243246E-3</v>
      </c>
      <c r="D64" s="5">
        <f>wOver[[#This Row],[W2]]/wTask[[#This Row],[W2]]</f>
        <v>6.9480695255734436E-3</v>
      </c>
      <c r="E64" s="5">
        <f>wOver[[#This Row],[W3]]/wTask[[#This Row],[W3]]</f>
        <v>5.5368764239138975E-3</v>
      </c>
      <c r="F64" s="5">
        <f>wOver[[#This Row],[W4]]/wTask[[#This Row],[W4]]</f>
        <v>1.4377743626118138E-3</v>
      </c>
      <c r="G64" s="5">
        <f>wOver[[#This Row],[W5]]/wTask[[#This Row],[W5]]</f>
        <v>2.7377411245036536E-3</v>
      </c>
      <c r="H64" s="5">
        <f>wOver[[#This Row],[W6]]/wTask[[#This Row],[W6]]</f>
        <v>8.3295075372127707E-3</v>
      </c>
      <c r="I64" s="8">
        <f>AVERAGE(Table3[[#This Row],[W1]:[W6]])</f>
        <v>4.856068698673317E-3</v>
      </c>
      <c r="J64" s="5">
        <f>_xlfn.STDEV.P(Table3[[#This Row],[W1]:[W6]])</f>
        <v>2.3657402007797525E-3</v>
      </c>
      <c r="K64" s="12">
        <f>wTask[[#This Row],[Average]]</f>
        <v>127.00166666666667</v>
      </c>
      <c r="L64" s="11">
        <f>wOver[[#This Row],[Mean]]</f>
        <v>0.61621950000000003</v>
      </c>
    </row>
    <row r="65" spans="1:12" x14ac:dyDescent="0.25">
      <c r="A65" s="3" t="str">
        <f>wTask[[#This Row],[Heuristic]]</f>
        <v>WS</v>
      </c>
      <c r="B65" s="4">
        <f>wTask[[#This Row],[Variance]]</f>
        <v>3.1E-2</v>
      </c>
      <c r="C65" s="8">
        <f>wOver[[#This Row],[W1]]/wTask[[#This Row],[W1]]</f>
        <v>2.7571439712993293E-3</v>
      </c>
      <c r="D65" s="5">
        <f>wOver[[#This Row],[W2]]/wTask[[#This Row],[W2]]</f>
        <v>8.2858900156129248E-3</v>
      </c>
      <c r="E65" s="5">
        <f>wOver[[#This Row],[W3]]/wTask[[#This Row],[W3]]</f>
        <v>5.591091264832114E-3</v>
      </c>
      <c r="F65" s="5">
        <f>wOver[[#This Row],[W4]]/wTask[[#This Row],[W4]]</f>
        <v>1.3609429605591613E-3</v>
      </c>
      <c r="G65" s="5">
        <f>wOver[[#This Row],[W5]]/wTask[[#This Row],[W5]]</f>
        <v>4.1159742557822709E-3</v>
      </c>
      <c r="H65" s="5">
        <f>wOver[[#This Row],[W6]]/wTask[[#This Row],[W6]]</f>
        <v>6.9568501221894449E-3</v>
      </c>
      <c r="I65" s="8">
        <f>AVERAGE(Table3[[#This Row],[W1]:[W6]])</f>
        <v>4.8446487650458739E-3</v>
      </c>
      <c r="J65" s="5">
        <f>_xlfn.STDEV.P(Table3[[#This Row],[W1]:[W6]])</f>
        <v>2.3764666089171956E-3</v>
      </c>
      <c r="K65" s="12">
        <f>wTask[[#This Row],[Average]]</f>
        <v>127.35716666666667</v>
      </c>
      <c r="L65" s="11">
        <f>wOver[[#This Row],[Mean]]</f>
        <v>0.61546566666666669</v>
      </c>
    </row>
    <row r="66" spans="1:12" x14ac:dyDescent="0.25">
      <c r="A66" s="3" t="str">
        <f>wTask[[#This Row],[Heuristic]]</f>
        <v>WS</v>
      </c>
      <c r="B66" s="4">
        <f>wTask[[#This Row],[Variance]]</f>
        <v>5.6000000000000001E-2</v>
      </c>
      <c r="C66" s="8">
        <f>wOver[[#This Row],[W1]]/wTask[[#This Row],[W1]]</f>
        <v>5.4549713528471771E-3</v>
      </c>
      <c r="D66" s="5">
        <f>wOver[[#This Row],[W2]]/wTask[[#This Row],[W2]]</f>
        <v>8.3017693677228249E-3</v>
      </c>
      <c r="E66" s="5">
        <f>wOver[[#This Row],[W3]]/wTask[[#This Row],[W3]]</f>
        <v>1.3766298235408181E-3</v>
      </c>
      <c r="F66" s="5">
        <f>wOver[[#This Row],[W4]]/wTask[[#This Row],[W4]]</f>
        <v>2.8239031911414286E-3</v>
      </c>
      <c r="G66" s="5">
        <f>wOver[[#This Row],[W5]]/wTask[[#This Row],[W5]]</f>
        <v>6.856643989146251E-3</v>
      </c>
      <c r="H66" s="5">
        <f>wOver[[#This Row],[W6]]/wTask[[#This Row],[W6]]</f>
        <v>4.1766825896151303E-3</v>
      </c>
      <c r="I66" s="8">
        <f>AVERAGE(Table3[[#This Row],[W1]:[W6]])</f>
        <v>4.8317667190022721E-3</v>
      </c>
      <c r="J66" s="5">
        <f>_xlfn.STDEV.P(Table3[[#This Row],[W1]:[W6]])</f>
        <v>2.342649941355118E-3</v>
      </c>
      <c r="K66" s="12">
        <f>wTask[[#This Row],[Average]]</f>
        <v>128.07599999999999</v>
      </c>
      <c r="L66" s="11">
        <f>wOver[[#This Row],[Mean]]</f>
        <v>0.6172063333333333</v>
      </c>
    </row>
    <row r="67" spans="1:12" x14ac:dyDescent="0.25">
      <c r="A67" s="3" t="str">
        <f>wTask[[#This Row],[Heuristic]]</f>
        <v>WS</v>
      </c>
      <c r="B67" s="4">
        <f>wTask[[#This Row],[Variance]]</f>
        <v>0.1</v>
      </c>
      <c r="C67" s="8">
        <f>wOver[[#This Row],[W1]]/wTask[[#This Row],[W1]]</f>
        <v>2.8607160828333653E-3</v>
      </c>
      <c r="D67" s="5">
        <f>wOver[[#This Row],[W2]]/wTask[[#This Row],[W2]]</f>
        <v>5.8415263748597089E-3</v>
      </c>
      <c r="E67" s="5">
        <f>wOver[[#This Row],[W3]]/wTask[[#This Row],[W3]]</f>
        <v>8.5304320650050787E-3</v>
      </c>
      <c r="F67" s="5">
        <f>wOver[[#This Row],[W4]]/wTask[[#This Row],[W4]]</f>
        <v>1.4924407381669371E-3</v>
      </c>
      <c r="G67" s="5">
        <f>wOver[[#This Row],[W5]]/wTask[[#This Row],[W5]]</f>
        <v>4.3602342911370747E-3</v>
      </c>
      <c r="H67" s="5">
        <f>wOver[[#This Row],[W6]]/wTask[[#This Row],[W6]]</f>
        <v>7.0906043393239599E-3</v>
      </c>
      <c r="I67" s="8">
        <f>AVERAGE(Table3[[#This Row],[W1]:[W6]])</f>
        <v>5.0293256485543537E-3</v>
      </c>
      <c r="J67" s="5">
        <f>_xlfn.STDEV.P(Table3[[#This Row],[W1]:[W6]])</f>
        <v>2.409231951009061E-3</v>
      </c>
      <c r="K67" s="12">
        <f>wTask[[#This Row],[Average]]</f>
        <v>128.88266666666667</v>
      </c>
      <c r="L67" s="11">
        <f>wOver[[#This Row],[Mean]]</f>
        <v>0.64727000000000012</v>
      </c>
    </row>
    <row r="68" spans="1:12" x14ac:dyDescent="0.25">
      <c r="A68" s="3" t="str">
        <f>wTask[[#This Row],[Heuristic]]</f>
        <v>WS</v>
      </c>
      <c r="B68" s="4">
        <f>wTask[[#This Row],[Variance]]</f>
        <v>0.18</v>
      </c>
      <c r="C68" s="8">
        <f>wOver[[#This Row],[W1]]/wTask[[#This Row],[W1]]</f>
        <v>5.4101636907066429E-3</v>
      </c>
      <c r="D68" s="5">
        <f>wOver[[#This Row],[W2]]/wTask[[#This Row],[W2]]</f>
        <v>1.1921826352356559E-3</v>
      </c>
      <c r="E68" s="5">
        <f>wOver[[#This Row],[W3]]/wTask[[#This Row],[W3]]</f>
        <v>2.4963744638834893E-3</v>
      </c>
      <c r="F68" s="5">
        <f>wOver[[#This Row],[W4]]/wTask[[#This Row],[W4]]</f>
        <v>6.5305067058323346E-3</v>
      </c>
      <c r="G68" s="5">
        <f>wOver[[#This Row],[W5]]/wTask[[#This Row],[W5]]</f>
        <v>7.9382411828122588E-3</v>
      </c>
      <c r="H68" s="5">
        <f>wOver[[#This Row],[W6]]/wTask[[#This Row],[W6]]</f>
        <v>3.8397393280662964E-3</v>
      </c>
      <c r="I68" s="8">
        <f>AVERAGE(Table3[[#This Row],[W1]:[W6]])</f>
        <v>4.5678680010894463E-3</v>
      </c>
      <c r="J68" s="5">
        <f>_xlfn.STDEV.P(Table3[[#This Row],[W1]:[W6]])</f>
        <v>2.3143514795936127E-3</v>
      </c>
      <c r="K68" s="12">
        <f>wTask[[#This Row],[Average]]</f>
        <v>129.62783333333334</v>
      </c>
      <c r="L68" s="11">
        <f>wOver[[#This Row],[Mean]]</f>
        <v>0.59169400000000005</v>
      </c>
    </row>
    <row r="69" spans="1:12" x14ac:dyDescent="0.25">
      <c r="A69" s="3" t="str">
        <f>wTask[[#This Row],[Heuristic]]</f>
        <v>WS</v>
      </c>
      <c r="B69" s="4">
        <f>wTask[[#This Row],[Variance]]</f>
        <v>0.31</v>
      </c>
      <c r="C69" s="8">
        <f>wOver[[#This Row],[W1]]/wTask[[#This Row],[W1]]</f>
        <v>3.0442499737988651E-3</v>
      </c>
      <c r="D69" s="5">
        <f>wOver[[#This Row],[W2]]/wTask[[#This Row],[W2]]</f>
        <v>4.5600402194058637E-3</v>
      </c>
      <c r="E69" s="5">
        <f>wOver[[#This Row],[W3]]/wTask[[#This Row],[W3]]</f>
        <v>4.0733074245243384E-3</v>
      </c>
      <c r="F69" s="5">
        <f>wOver[[#This Row],[W4]]/wTask[[#This Row],[W4]]</f>
        <v>5.7933182290615167E-3</v>
      </c>
      <c r="G69" s="5">
        <f>wOver[[#This Row],[W5]]/wTask[[#This Row],[W5]]</f>
        <v>6.3483302272454006E-3</v>
      </c>
      <c r="H69" s="5">
        <f>wOver[[#This Row],[W6]]/wTask[[#This Row],[W6]]</f>
        <v>8.3062889416827285E-3</v>
      </c>
      <c r="I69" s="8">
        <f>AVERAGE(Table3[[#This Row],[W1]:[W6]])</f>
        <v>5.3542558359531188E-3</v>
      </c>
      <c r="J69" s="5">
        <f>_xlfn.STDEV.P(Table3[[#This Row],[W1]:[W6]])</f>
        <v>1.7079809473608144E-3</v>
      </c>
      <c r="K69" s="12">
        <f>wTask[[#This Row],[Average]]</f>
        <v>133.46700000000001</v>
      </c>
      <c r="L69" s="11">
        <f>wOver[[#This Row],[Mean]]</f>
        <v>0.71478133333333338</v>
      </c>
    </row>
    <row r="70" spans="1:12" x14ac:dyDescent="0.25">
      <c r="A70" s="3" t="str">
        <f>wTask[[#This Row],[Heuristic]]</f>
        <v>WS</v>
      </c>
      <c r="B70" s="4">
        <f>wTask[[#This Row],[Variance]]</f>
        <v>0.56000000000000005</v>
      </c>
      <c r="C70" s="8">
        <f>wOver[[#This Row],[W1]]/wTask[[#This Row],[W1]]</f>
        <v>1.5104671327901341E-3</v>
      </c>
      <c r="D70" s="5">
        <f>wOver[[#This Row],[W2]]/wTask[[#This Row],[W2]]</f>
        <v>4.5267524996196983E-3</v>
      </c>
      <c r="E70" s="5">
        <f>wOver[[#This Row],[W3]]/wTask[[#This Row],[W3]]</f>
        <v>2.069562144492997E-3</v>
      </c>
      <c r="F70" s="5">
        <f>wOver[[#This Row],[W4]]/wTask[[#This Row],[W4]]</f>
        <v>6.1649195684295634E-3</v>
      </c>
      <c r="G70" s="5">
        <f>wOver[[#This Row],[W5]]/wTask[[#This Row],[W5]]</f>
        <v>3.6861790424859526E-3</v>
      </c>
      <c r="H70" s="5">
        <f>wOver[[#This Row],[W6]]/wTask[[#This Row],[W6]]</f>
        <v>6.937855201383741E-3</v>
      </c>
      <c r="I70" s="8">
        <f>AVERAGE(Table3[[#This Row],[W1]:[W6]])</f>
        <v>4.1492892648670142E-3</v>
      </c>
      <c r="J70" s="5">
        <f>_xlfn.STDEV.P(Table3[[#This Row],[W1]:[W6]])</f>
        <v>1.9784026475317081E-3</v>
      </c>
      <c r="K70" s="12">
        <f>wTask[[#This Row],[Average]]</f>
        <v>145.03799999999998</v>
      </c>
      <c r="L70" s="11">
        <f>wOver[[#This Row],[Mean]]</f>
        <v>0.60078733333333334</v>
      </c>
    </row>
    <row r="71" spans="1:12" x14ac:dyDescent="0.25">
      <c r="A71" s="6" t="str">
        <f>wTask[[#This Row],[Heuristic]]</f>
        <v>WS</v>
      </c>
      <c r="B71" s="7">
        <f>wTask[[#This Row],[Variance]]</f>
        <v>1</v>
      </c>
      <c r="C71" s="8">
        <f>wOver[[#This Row],[W1]]/wTask[[#This Row],[W1]]</f>
        <v>8.5669333294930046E-3</v>
      </c>
      <c r="D71" s="5">
        <f>wOver[[#This Row],[W2]]/wTask[[#This Row],[W2]]</f>
        <v>6.1126888675526805E-3</v>
      </c>
      <c r="E71" s="5">
        <f>wOver[[#This Row],[W3]]/wTask[[#This Row],[W3]]</f>
        <v>7.2613841467329653E-3</v>
      </c>
      <c r="F71" s="5">
        <f>wOver[[#This Row],[W4]]/wTask[[#This Row],[W4]]</f>
        <v>5.5873791633474709E-3</v>
      </c>
      <c r="G71" s="5">
        <f>wOver[[#This Row],[W5]]/wTask[[#This Row],[W5]]</f>
        <v>7.5045162404727113E-3</v>
      </c>
      <c r="H71" s="5">
        <f>wOver[[#This Row],[W6]]/wTask[[#This Row],[W6]]</f>
        <v>8.2276376934139871E-3</v>
      </c>
      <c r="I71" s="8">
        <f>AVERAGE(Table3[[#This Row],[W1]:[W6]])</f>
        <v>7.2100899068354707E-3</v>
      </c>
      <c r="J71" s="5">
        <f>_xlfn.STDEV.P(Table3[[#This Row],[W1]:[W6]])</f>
        <v>1.0648336908187356E-3</v>
      </c>
      <c r="K71" s="12">
        <f>wTask[[#This Row],[Average]]</f>
        <v>139.03766666666667</v>
      </c>
      <c r="L71" s="11">
        <f>wOver[[#This Row],[Mean]]</f>
        <v>1.0023415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960B-09A7-421D-8D8F-05BD7374DABA}">
  <dimension ref="A1:H11"/>
  <sheetViews>
    <sheetView workbookViewId="0">
      <selection activeCell="O11" sqref="O11"/>
    </sheetView>
  </sheetViews>
  <sheetFormatPr defaultRowHeight="15" x14ac:dyDescent="0.25"/>
  <cols>
    <col min="1" max="1" width="13.85546875" customWidth="1"/>
  </cols>
  <sheetData>
    <row r="1" spans="1:8" x14ac:dyDescent="0.25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25">
      <c r="A2">
        <v>0</v>
      </c>
      <c r="B2" cm="1">
        <f t="array" ref="B2">IFERROR(INDEX(wTask[StDev], MATCH(1, (wTask[Heuristic]=Table4[[#Headers],[FCFS]]) * (wTask[Variance] = Table4[[#This Row],[Heuristic]]), 0)), "")</f>
        <v>0.6729396745292654</v>
      </c>
      <c r="C2" cm="1">
        <f t="array" ref="C2">IFERROR(INDEX(wTask[StDev], MATCH(1, (wTask[Heuristic]=Table4[[#Headers],[LCFS]]) * (wTask[Variance] = Table4[[#This Row],[Heuristic]]), 0)), "")</f>
        <v>0.63683584139783578</v>
      </c>
      <c r="D2" cm="1">
        <f t="array" ref="D2">IFERROR(INDEX(wTask[StDev], MATCH(1, (wTask[Heuristic]=Table4[[#Headers],[SJF]]) * (wTask[Variance] = Table4[[#This Row],[Heuristic]]), 0)), "")</f>
        <v>0.51233734546249698</v>
      </c>
      <c r="E2" cm="1">
        <f t="array" ref="E2">IFERROR(INDEX(wTask[StDev], MATCH(1, (wTask[Heuristic]=Table4[[#Headers],[LJF]]) * (wTask[Variance] = Table4[[#This Row],[Heuristic]]), 0)), "")</f>
        <v>0.65915796454432907</v>
      </c>
      <c r="F2" cm="1">
        <f t="array" ref="F2">IFERROR(INDEX(wTask[StDev], MATCH(1, (wTask[Heuristic]=Table4[[#Headers],[RR]]) * (wTask[Variance] = Table4[[#This Row],[Heuristic]]), 0)), "")</f>
        <v>3.9686600068537019</v>
      </c>
      <c r="G2" cm="1">
        <f t="array" ref="G2">IFERROR(INDEX(wTask[StDev], MATCH(1, (wTask[Heuristic]=Table4[[#Headers],[LBW]]) * (wTask[Variance] = Table4[[#This Row],[Heuristic]]), 0)), "")</f>
        <v>4.3712386751989998</v>
      </c>
      <c r="H2" cm="1">
        <f t="array" ref="H2">IFERROR(INDEX(wTask[StDev], MATCH(1, (wTask[Heuristic]=Table4[[#Headers],[WS]]) * (wTask[Variance] = Table4[[#This Row],[Heuristic]]), 0)), "")</f>
        <v>0.4088924063858374</v>
      </c>
    </row>
    <row r="3" spans="1:8" x14ac:dyDescent="0.25">
      <c r="A3">
        <v>0.01</v>
      </c>
      <c r="B3" cm="1">
        <f t="array" ref="B3">IFERROR(INDEX(wTask[StDev], MATCH(1, (wTask[Heuristic]=Table4[[#Headers],[FCFS]]) * (wTask[Variance] = Table4[[#This Row],[Heuristic]]), 0)), "")</f>
        <v>0.41397933389106528</v>
      </c>
      <c r="C3" cm="1">
        <f t="array" ref="C3">IFERROR(INDEX(wTask[StDev], MATCH(1, (wTask[Heuristic]=Table4[[#Headers],[LCFS]]) * (wTask[Variance] = Table4[[#This Row],[Heuristic]]), 0)), "")</f>
        <v>0.60654066915032978</v>
      </c>
      <c r="D3" cm="1">
        <f t="array" ref="D3">IFERROR(INDEX(wTask[StDev], MATCH(1, (wTask[Heuristic]=Table4[[#Headers],[SJF]]) * (wTask[Variance] = Table4[[#This Row],[Heuristic]]), 0)), "")</f>
        <v>0.58535772538394437</v>
      </c>
      <c r="E3" cm="1">
        <f t="array" ref="E3">IFERROR(INDEX(wTask[StDev], MATCH(1, (wTask[Heuristic]=Table4[[#Headers],[LJF]]) * (wTask[Variance] = Table4[[#This Row],[Heuristic]]), 0)), "")</f>
        <v>0.45971866396742994</v>
      </c>
      <c r="F3" cm="1">
        <f t="array" ref="F3">IFERROR(INDEX(wTask[StDev], MATCH(1, (wTask[Heuristic]=Table4[[#Headers],[RR]]) * (wTask[Variance] = Table4[[#This Row],[Heuristic]]), 0)), "")</f>
        <v>1.7970377167871447</v>
      </c>
      <c r="G3" cm="1">
        <f t="array" ref="G3">IFERROR(INDEX(wTask[StDev], MATCH(1, (wTask[Heuristic]=Table4[[#Headers],[LBW]]) * (wTask[Variance] = Table4[[#This Row],[Heuristic]]), 0)), "")</f>
        <v>3.5712851911695189</v>
      </c>
      <c r="H3" cm="1">
        <f t="array" ref="H3">IFERROR(INDEX(wTask[StDev], MATCH(1, (wTask[Heuristic]=Table4[[#Headers],[WS]]) * (wTask[Variance] = Table4[[#This Row],[Heuristic]]), 0)), "")</f>
        <v>0.48835767857403545</v>
      </c>
    </row>
    <row r="4" spans="1:8" x14ac:dyDescent="0.25">
      <c r="A4">
        <v>1.7999999999999999E-2</v>
      </c>
      <c r="B4" cm="1">
        <f t="array" ref="B4">IFERROR(INDEX(wTask[StDev], MATCH(1, (wTask[Heuristic]=Table4[[#Headers],[FCFS]]) * (wTask[Variance] = Table4[[#This Row],[Heuristic]]), 0)), "")</f>
        <v>0.65516547952067716</v>
      </c>
      <c r="C4" cm="1">
        <f t="array" ref="C4">IFERROR(INDEX(wTask[StDev], MATCH(1, (wTask[Heuristic]=Table4[[#Headers],[LCFS]]) * (wTask[Variance] = Table4[[#This Row],[Heuristic]]), 0)), "")</f>
        <v>0.52990903307391712</v>
      </c>
      <c r="D4" cm="1">
        <f t="array" ref="D4">IFERROR(INDEX(wTask[StDev], MATCH(1, (wTask[Heuristic]=Table4[[#Headers],[SJF]]) * (wTask[Variance] = Table4[[#This Row],[Heuristic]]), 0)), "")</f>
        <v>0.26301505026645611</v>
      </c>
      <c r="E4" cm="1">
        <f t="array" ref="E4">IFERROR(INDEX(wTask[StDev], MATCH(1, (wTask[Heuristic]=Table4[[#Headers],[LJF]]) * (wTask[Variance] = Table4[[#This Row],[Heuristic]]), 0)), "")</f>
        <v>0.27307304680046413</v>
      </c>
      <c r="F4" cm="1">
        <f t="array" ref="F4">IFERROR(INDEX(wTask[StDev], MATCH(1, (wTask[Heuristic]=Table4[[#Headers],[RR]]) * (wTask[Variance] = Table4[[#This Row],[Heuristic]]), 0)), "")</f>
        <v>2.6561578559181234</v>
      </c>
      <c r="G4" cm="1">
        <f t="array" ref="G4">IFERROR(INDEX(wTask[StDev], MATCH(1, (wTask[Heuristic]=Table4[[#Headers],[LBW]]) * (wTask[Variance] = Table4[[#This Row],[Heuristic]]), 0)), "")</f>
        <v>2.2587575985237742</v>
      </c>
      <c r="H4" cm="1">
        <f t="array" ref="H4">IFERROR(INDEX(wTask[StDev], MATCH(1, (wTask[Heuristic]=Table4[[#Headers],[WS]]) * (wTask[Variance] = Table4[[#This Row],[Heuristic]]), 0)), "")</f>
        <v>0.41847407990884899</v>
      </c>
    </row>
    <row r="5" spans="1:8" x14ac:dyDescent="0.25">
      <c r="A5">
        <v>3.1E-2</v>
      </c>
      <c r="B5" cm="1">
        <f t="array" ref="B5">IFERROR(INDEX(wTask[StDev], MATCH(1, (wTask[Heuristic]=Table4[[#Headers],[FCFS]]) * (wTask[Variance] = Table4[[#This Row],[Heuristic]]), 0)), "")</f>
        <v>0.48449171532878166</v>
      </c>
      <c r="C5" cm="1">
        <f t="array" ref="C5">IFERROR(INDEX(wTask[StDev], MATCH(1, (wTask[Heuristic]=Table4[[#Headers],[LCFS]]) * (wTask[Variance] = Table4[[#This Row],[Heuristic]]), 0)), "")</f>
        <v>0.45628040233561912</v>
      </c>
      <c r="D5" cm="1">
        <f t="array" ref="D5">IFERROR(INDEX(wTask[StDev], MATCH(1, (wTask[Heuristic]=Table4[[#Headers],[SJF]]) * (wTask[Variance] = Table4[[#This Row],[Heuristic]]), 0)), "")</f>
        <v>0.4781595503130221</v>
      </c>
      <c r="E5" cm="1">
        <f t="array" ref="E5">IFERROR(INDEX(wTask[StDev], MATCH(1, (wTask[Heuristic]=Table4[[#Headers],[LJF]]) * (wTask[Variance] = Table4[[#This Row],[Heuristic]]), 0)), "")</f>
        <v>0.48467549281280586</v>
      </c>
      <c r="F5" cm="1">
        <f t="array" ref="F5">IFERROR(INDEX(wTask[StDev], MATCH(1, (wTask[Heuristic]=Table4[[#Headers],[RR]]) * (wTask[Variance] = Table4[[#This Row],[Heuristic]]), 0)), "")</f>
        <v>3.4709928934912373</v>
      </c>
      <c r="G5" cm="1">
        <f t="array" ref="G5">IFERROR(INDEX(wTask[StDev], MATCH(1, (wTask[Heuristic]=Table4[[#Headers],[LBW]]) * (wTask[Variance] = Table4[[#This Row],[Heuristic]]), 0)), "")</f>
        <v>3.6227182703967871</v>
      </c>
      <c r="H5" cm="1">
        <f t="array" ref="H5">IFERROR(INDEX(wTask[StDev], MATCH(1, (wTask[Heuristic]=Table4[[#Headers],[WS]]) * (wTask[Variance] = Table4[[#This Row],[Heuristic]]), 0)), "")</f>
        <v>0.71463940013284066</v>
      </c>
    </row>
    <row r="6" spans="1:8" x14ac:dyDescent="0.25">
      <c r="A6">
        <v>5.6000000000000001E-2</v>
      </c>
      <c r="B6" cm="1">
        <f t="array" ref="B6">IFERROR(INDEX(wTask[StDev], MATCH(1, (wTask[Heuristic]=Table4[[#Headers],[FCFS]]) * (wTask[Variance] = Table4[[#This Row],[Heuristic]]), 0)), "")</f>
        <v>0.23043051495455796</v>
      </c>
      <c r="C6" cm="1">
        <f t="array" ref="C6">IFERROR(INDEX(wTask[StDev], MATCH(1, (wTask[Heuristic]=Table4[[#Headers],[LCFS]]) * (wTask[Variance] = Table4[[#This Row],[Heuristic]]), 0)), "")</f>
        <v>0.36083040799430061</v>
      </c>
      <c r="D6" cm="1">
        <f t="array" ref="D6">IFERROR(INDEX(wTask[StDev], MATCH(1, (wTask[Heuristic]=Table4[[#Headers],[SJF]]) * (wTask[Variance] = Table4[[#This Row],[Heuristic]]), 0)), "")</f>
        <v>0.74256417605184244</v>
      </c>
      <c r="E6" cm="1">
        <f t="array" ref="E6">IFERROR(INDEX(wTask[StDev], MATCH(1, (wTask[Heuristic]=Table4[[#Headers],[LJF]]) * (wTask[Variance] = Table4[[#This Row],[Heuristic]]), 0)), "")</f>
        <v>0.43265064813695964</v>
      </c>
      <c r="F6" cm="1">
        <f t="array" ref="F6">IFERROR(INDEX(wTask[StDev], MATCH(1, (wTask[Heuristic]=Table4[[#Headers],[RR]]) * (wTask[Variance] = Table4[[#This Row],[Heuristic]]), 0)), "")</f>
        <v>4.4143094747524145</v>
      </c>
      <c r="G6" cm="1">
        <f t="array" ref="G6">IFERROR(INDEX(wTask[StDev], MATCH(1, (wTask[Heuristic]=Table4[[#Headers],[LBW]]) * (wTask[Variance] = Table4[[#This Row],[Heuristic]]), 0)), "")</f>
        <v>0.96672650676852701</v>
      </c>
      <c r="H6" cm="1">
        <f t="array" ref="H6">IFERROR(INDEX(wTask[StDev], MATCH(1, (wTask[Heuristic]=Table4[[#Headers],[WS]]) * (wTask[Variance] = Table4[[#This Row],[Heuristic]]), 0)), "")</f>
        <v>0.76275946405141704</v>
      </c>
    </row>
    <row r="7" spans="1:8" x14ac:dyDescent="0.25">
      <c r="A7">
        <v>0.1</v>
      </c>
      <c r="B7" cm="1">
        <f t="array" ref="B7">IFERROR(INDEX(wTask[StDev], MATCH(1, (wTask[Heuristic]=Table4[[#Headers],[FCFS]]) * (wTask[Variance] = Table4[[#This Row],[Heuristic]]), 0)), "")</f>
        <v>0.60443389492427735</v>
      </c>
      <c r="C7" cm="1">
        <f t="array" ref="C7">IFERROR(INDEX(wTask[StDev], MATCH(1, (wTask[Heuristic]=Table4[[#Headers],[LCFS]]) * (wTask[Variance] = Table4[[#This Row],[Heuristic]]), 0)), "")</f>
        <v>0.59281402836152997</v>
      </c>
      <c r="D7" cm="1">
        <f t="array" ref="D7">IFERROR(INDEX(wTask[StDev], MATCH(1, (wTask[Heuristic]=Table4[[#Headers],[SJF]]) * (wTask[Variance] = Table4[[#This Row],[Heuristic]]), 0)), "")</f>
        <v>0.33864632484841029</v>
      </c>
      <c r="E7" cm="1">
        <f t="array" ref="E7">IFERROR(INDEX(wTask[StDev], MATCH(1, (wTask[Heuristic]=Table4[[#Headers],[LJF]]) * (wTask[Variance] = Table4[[#This Row],[Heuristic]]), 0)), "")</f>
        <v>0.35269250062908858</v>
      </c>
      <c r="F7" cm="1">
        <f t="array" ref="F7">IFERROR(INDEX(wTask[StDev], MATCH(1, (wTask[Heuristic]=Table4[[#Headers],[RR]]) * (wTask[Variance] = Table4[[#This Row],[Heuristic]]), 0)), "")</f>
        <v>3.6824543181899161</v>
      </c>
      <c r="G7" cm="1">
        <f t="array" ref="G7">IFERROR(INDEX(wTask[StDev], MATCH(1, (wTask[Heuristic]=Table4[[#Headers],[LBW]]) * (wTask[Variance] = Table4[[#This Row],[Heuristic]]), 0)), "")</f>
        <v>2.7318883375586367</v>
      </c>
      <c r="H7" cm="1">
        <f t="array" ref="H7">IFERROR(INDEX(wTask[StDev], MATCH(1, (wTask[Heuristic]=Table4[[#Headers],[WS]]) * (wTask[Variance] = Table4[[#This Row],[Heuristic]]), 0)), "")</f>
        <v>0.49649359400589421</v>
      </c>
    </row>
    <row r="8" spans="1:8" x14ac:dyDescent="0.25">
      <c r="A8">
        <v>0.18</v>
      </c>
      <c r="B8" cm="1">
        <f t="array" ref="B8">IFERROR(INDEX(wTask[StDev], MATCH(1, (wTask[Heuristic]=Table4[[#Headers],[FCFS]]) * (wTask[Variance] = Table4[[#This Row],[Heuristic]]), 0)), "")</f>
        <v>0.39406626628299551</v>
      </c>
      <c r="C8" cm="1">
        <f t="array" ref="C8">IFERROR(INDEX(wTask[StDev], MATCH(1, (wTask[Heuristic]=Table4[[#Headers],[LCFS]]) * (wTask[Variance] = Table4[[#This Row],[Heuristic]]), 0)), "")</f>
        <v>0.6767684857714138</v>
      </c>
      <c r="D8" cm="1">
        <f t="array" ref="D8">IFERROR(INDEX(wTask[StDev], MATCH(1, (wTask[Heuristic]=Table4[[#Headers],[SJF]]) * (wTask[Variance] = Table4[[#This Row],[Heuristic]]), 0)), "")</f>
        <v>0.63301327439126587</v>
      </c>
      <c r="E8" cm="1">
        <f t="array" ref="E8">IFERROR(INDEX(wTask[StDev], MATCH(1, (wTask[Heuristic]=Table4[[#Headers],[LJF]]) * (wTask[Variance] = Table4[[#This Row],[Heuristic]]), 0)), "")</f>
        <v>0.40850040799653631</v>
      </c>
      <c r="F8" cm="1">
        <f t="array" ref="F8">IFERROR(INDEX(wTask[StDev], MATCH(1, (wTask[Heuristic]=Table4[[#Headers],[RR]]) * (wTask[Variance] = Table4[[#This Row],[Heuristic]]), 0)), "")</f>
        <v>4.9007463518892225</v>
      </c>
      <c r="G8" cm="1">
        <f t="array" ref="G8">IFERROR(INDEX(wTask[StDev], MATCH(1, (wTask[Heuristic]=Table4[[#Headers],[LBW]]) * (wTask[Variance] = Table4[[#This Row],[Heuristic]]), 0)), "")</f>
        <v>2.3333805709504136</v>
      </c>
      <c r="H8" cm="1">
        <f t="array" ref="H8">IFERROR(INDEX(wTask[StDev], MATCH(1, (wTask[Heuristic]=Table4[[#Headers],[WS]]) * (wTask[Variance] = Table4[[#This Row],[Heuristic]]), 0)), "")</f>
        <v>0.41379480287805392</v>
      </c>
    </row>
    <row r="9" spans="1:8" x14ac:dyDescent="0.25">
      <c r="A9">
        <v>0.31</v>
      </c>
      <c r="B9" cm="1">
        <f t="array" ref="B9">IFERROR(INDEX(wTask[StDev], MATCH(1, (wTask[Heuristic]=Table4[[#Headers],[FCFS]]) * (wTask[Variance] = Table4[[#This Row],[Heuristic]]), 0)), "")</f>
        <v>0.2813476003491448</v>
      </c>
      <c r="C9" cm="1">
        <f t="array" ref="C9">IFERROR(INDEX(wTask[StDev], MATCH(1, (wTask[Heuristic]=Table4[[#Headers],[LCFS]]) * (wTask[Variance] = Table4[[#This Row],[Heuristic]]), 0)), "")</f>
        <v>0.87662086382248805</v>
      </c>
      <c r="D9" cm="1">
        <f t="array" ref="D9">IFERROR(INDEX(wTask[StDev], MATCH(1, (wTask[Heuristic]=Table4[[#Headers],[SJF]]) * (wTask[Variance] = Table4[[#This Row],[Heuristic]]), 0)), "")</f>
        <v>1.0470885694258261</v>
      </c>
      <c r="E9" cm="1">
        <f t="array" ref="E9">IFERROR(INDEX(wTask[StDev], MATCH(1, (wTask[Heuristic]=Table4[[#Headers],[LJF]]) * (wTask[Variance] = Table4[[#This Row],[Heuristic]]), 0)), "")</f>
        <v>0.29813890312328351</v>
      </c>
      <c r="F9" cm="1">
        <f t="array" ref="F9">IFERROR(INDEX(wTask[StDev], MATCH(1, (wTask[Heuristic]=Table4[[#Headers],[RR]]) * (wTask[Variance] = Table4[[#This Row],[Heuristic]]), 0)), "")</f>
        <v>6.258841603861069</v>
      </c>
      <c r="G9" cm="1">
        <f t="array" ref="G9">IFERROR(INDEX(wTask[StDev], MATCH(1, (wTask[Heuristic]=Table4[[#Headers],[LBW]]) * (wTask[Variance] = Table4[[#This Row],[Heuristic]]), 0)), "")</f>
        <v>3.3099883391872504</v>
      </c>
      <c r="H9" cm="1">
        <f t="array" ref="H9">IFERROR(INDEX(wTask[StDev], MATCH(1, (wTask[Heuristic]=Table4[[#Headers],[WS]]) * (wTask[Variance] = Table4[[#This Row],[Heuristic]]), 0)), "")</f>
        <v>0.27783808234293522</v>
      </c>
    </row>
    <row r="10" spans="1:8" x14ac:dyDescent="0.25">
      <c r="A10">
        <v>0.56000000000000005</v>
      </c>
      <c r="B10" cm="1">
        <f t="array" ref="B10">IFERROR(INDEX(wTask[StDev], MATCH(1, (wTask[Heuristic]=Table4[[#Headers],[FCFS]]) * (wTask[Variance] = Table4[[#This Row],[Heuristic]]), 0)), "")</f>
        <v>0.76266406249555196</v>
      </c>
      <c r="C10" cm="1">
        <f t="array" ref="C10">IFERROR(INDEX(wTask[StDev], MATCH(1, (wTask[Heuristic]=Table4[[#Headers],[LCFS]]) * (wTask[Variance] = Table4[[#This Row],[Heuristic]]), 0)), "")</f>
        <v>1.3543524180294471</v>
      </c>
      <c r="D10" cm="1">
        <f t="array" ref="D10">IFERROR(INDEX(wTask[StDev], MATCH(1, (wTask[Heuristic]=Table4[[#Headers],[SJF]]) * (wTask[Variance] = Table4[[#This Row],[Heuristic]]), 0)), "")</f>
        <v>1.43913200112661</v>
      </c>
      <c r="E10" cm="1">
        <f t="array" ref="E10">IFERROR(INDEX(wTask[StDev], MATCH(1, (wTask[Heuristic]=Table4[[#Headers],[LJF]]) * (wTask[Variance] = Table4[[#This Row],[Heuristic]]), 0)), "")</f>
        <v>0.30228794220081712</v>
      </c>
      <c r="F10" cm="1">
        <f t="array" ref="F10">IFERROR(INDEX(wTask[StDev], MATCH(1, (wTask[Heuristic]=Table4[[#Headers],[RR]]) * (wTask[Variance] = Table4[[#This Row],[Heuristic]]), 0)), "")</f>
        <v>11.286726535576596</v>
      </c>
      <c r="G10" cm="1">
        <f t="array" ref="G10">IFERROR(INDEX(wTask[StDev], MATCH(1, (wTask[Heuristic]=Table4[[#Headers],[LBW]]) * (wTask[Variance] = Table4[[#This Row],[Heuristic]]), 0)), "")</f>
        <v>5.0383586420138444</v>
      </c>
      <c r="H10" cm="1">
        <f t="array" ref="H10">IFERROR(INDEX(wTask[StDev], MATCH(1, (wTask[Heuristic]=Table4[[#Headers],[WS]]) * (wTask[Variance] = Table4[[#This Row],[Heuristic]]), 0)), "")</f>
        <v>1.2040026301189437</v>
      </c>
    </row>
    <row r="11" spans="1:8" x14ac:dyDescent="0.25">
      <c r="A11">
        <v>1</v>
      </c>
      <c r="B11" cm="1">
        <f t="array" ref="B11">IFERROR(INDEX(wTask[StDev], MATCH(1, (wTask[Heuristic]=Table4[[#Headers],[FCFS]]) * (wTask[Variance] = Table4[[#This Row],[Heuristic]]), 0)), "")</f>
        <v>0.60006860718866051</v>
      </c>
      <c r="C11" cm="1">
        <f t="array" ref="C11">IFERROR(INDEX(wTask[StDev], MATCH(1, (wTask[Heuristic]=Table4[[#Headers],[LCFS]]) * (wTask[Variance] = Table4[[#This Row],[Heuristic]]), 0)), "")</f>
        <v>1.2674960113897404</v>
      </c>
      <c r="D11" cm="1">
        <f t="array" ref="D11">IFERROR(INDEX(wTask[StDev], MATCH(1, (wTask[Heuristic]=Table4[[#Headers],[SJF]]) * (wTask[Variance] = Table4[[#This Row],[Heuristic]]), 0)), "")</f>
        <v>0.87707064519722033</v>
      </c>
      <c r="E11" cm="1">
        <f t="array" ref="E11">IFERROR(INDEX(wTask[StDev], MATCH(1, (wTask[Heuristic]=Table4[[#Headers],[LJF]]) * (wTask[Variance] = Table4[[#This Row],[Heuristic]]), 0)), "")</f>
        <v>0.16893983149827624</v>
      </c>
      <c r="F11" cm="1">
        <f t="array" ref="F11">IFERROR(INDEX(wTask[StDev], MATCH(1, (wTask[Heuristic]=Table4[[#Headers],[RR]]) * (wTask[Variance] = Table4[[#This Row],[Heuristic]]), 0)), "")</f>
        <v>10.272253485319894</v>
      </c>
      <c r="G11" cm="1">
        <f t="array" ref="G11">IFERROR(INDEX(wTask[StDev], MATCH(1, (wTask[Heuristic]=Table4[[#Headers],[LBW]]) * (wTask[Variance] = Table4[[#This Row],[Heuristic]]), 0)), "")</f>
        <v>3.6821841985732102</v>
      </c>
      <c r="H11" cm="1">
        <f t="array" ref="H11">IFERROR(INDEX(wTask[StDev], MATCH(1, (wTask[Heuristic]=Table4[[#Headers],[WS]]) * (wTask[Variance] = Table4[[#This Row],[Heuristic]]), 0)), "")</f>
        <v>0.59550613393613072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C83AE6-2E13-4D88-8DC6-335438BFB9C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e586649-7317-42fb-8949-66923d34ba7e}" enabled="0" method="" siteId="{1e586649-7317-42fb-8949-66923d34ba7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wTask</vt:lpstr>
      <vt:lpstr>wOver</vt:lpstr>
      <vt:lpstr>Ratios</vt:lpstr>
      <vt:lpstr>task time stdev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Némo Chentre</dc:creator>
  <cp:lastModifiedBy>Némo Chentre</cp:lastModifiedBy>
  <dcterms:created xsi:type="dcterms:W3CDTF">2025-05-19T13:26:17Z</dcterms:created>
  <dcterms:modified xsi:type="dcterms:W3CDTF">2025-05-19T15:05:50Z</dcterms:modified>
</cp:coreProperties>
</file>