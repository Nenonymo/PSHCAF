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ockholmuniversity-my.sharepoint.com/personal/nech2600_win_su_se/Documents/PSHCAF/analysis/"/>
    </mc:Choice>
  </mc:AlternateContent>
  <xr:revisionPtr revIDLastSave="426" documentId="8_{2793F56E-9C25-4C3B-BEFC-07BEA0E0510D}" xr6:coauthVersionLast="47" xr6:coauthVersionMax="47" xr10:uidLastSave="{77A3A713-8AC6-4F95-B3C5-67E3CCE2976F}"/>
  <bookViews>
    <workbookView xWindow="-98" yWindow="-98" windowWidth="28996" windowHeight="15675" xr2:uid="{3A8DD828-E0D5-40AE-9AFF-68DADB20DF39}"/>
  </bookViews>
  <sheets>
    <sheet name="wTask" sheetId="3" r:id="rId1"/>
    <sheet name="wOver" sheetId="2" r:id="rId2"/>
    <sheet name="Ratios" sheetId="1" r:id="rId3"/>
    <sheet name="task time stdev" sheetId="4" r:id="rId4"/>
    <sheet name="overhead time stdev" sheetId="5" r:id="rId5"/>
    <sheet name="Graphs" sheetId="6" r:id="rId6"/>
  </sheets>
  <definedNames>
    <definedName name="ExternalData_1" localSheetId="1" hidden="1">wOver!$A$1:$H$71</definedName>
    <definedName name="ExternalData_2" localSheetId="0" hidden="1">wTask!$A$1:$H$71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J2" i="2"/>
  <c r="J3" i="2"/>
  <c r="J4" i="2"/>
  <c r="J5" i="2"/>
  <c r="J6" i="2"/>
  <c r="J7" i="2"/>
  <c r="B7" i="5" s="1" a="1"/>
  <c r="B7" i="5" s="1"/>
  <c r="J8" i="2"/>
  <c r="B8" i="5" s="1" a="1"/>
  <c r="B8" i="5" s="1"/>
  <c r="J9" i="2"/>
  <c r="J10" i="2"/>
  <c r="J11" i="2"/>
  <c r="J12" i="2"/>
  <c r="J13" i="2"/>
  <c r="J14" i="2"/>
  <c r="J15" i="2"/>
  <c r="C5" i="5" s="1" a="1"/>
  <c r="C5" i="5" s="1"/>
  <c r="J16" i="2"/>
  <c r="C6" i="5" s="1" a="1"/>
  <c r="C6" i="5" s="1"/>
  <c r="J17" i="2"/>
  <c r="J18" i="2"/>
  <c r="J19" i="2"/>
  <c r="J20" i="2"/>
  <c r="J21" i="2"/>
  <c r="J22" i="2"/>
  <c r="J23" i="2"/>
  <c r="D3" i="5" s="1" a="1"/>
  <c r="D3" i="5" s="1"/>
  <c r="J24" i="2"/>
  <c r="D4" i="5" s="1" a="1"/>
  <c r="D4" i="5" s="1"/>
  <c r="J25" i="2"/>
  <c r="J26" i="2"/>
  <c r="J27" i="2"/>
  <c r="J28" i="2"/>
  <c r="J29" i="2"/>
  <c r="J30" i="2"/>
  <c r="J31" i="2"/>
  <c r="D11" i="5" s="1" a="1"/>
  <c r="D11" i="5" s="1"/>
  <c r="J32" i="2"/>
  <c r="E2" i="5" s="1" a="1"/>
  <c r="E2" i="5" s="1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G5" i="5" s="1" a="1"/>
  <c r="G5" i="5" s="1"/>
  <c r="J56" i="2"/>
  <c r="G6" i="5" s="1" a="1"/>
  <c r="G6" i="5" s="1"/>
  <c r="J57" i="2"/>
  <c r="J58" i="2"/>
  <c r="J59" i="2"/>
  <c r="J60" i="2"/>
  <c r="J61" i="2"/>
  <c r="J62" i="2"/>
  <c r="J63" i="2"/>
  <c r="H3" i="5" s="1" a="1"/>
  <c r="H3" i="5" s="1"/>
  <c r="J64" i="2"/>
  <c r="H4" i="5" s="1" a="1"/>
  <c r="H4" i="5" s="1"/>
  <c r="J65" i="2"/>
  <c r="J66" i="2"/>
  <c r="J67" i="2"/>
  <c r="J68" i="2"/>
  <c r="J69" i="2"/>
  <c r="J70" i="2"/>
  <c r="J71" i="2"/>
  <c r="I2" i="2"/>
  <c r="L2" i="1" s="1"/>
  <c r="I3" i="2"/>
  <c r="I4" i="2"/>
  <c r="I5" i="2"/>
  <c r="I6" i="2"/>
  <c r="I7" i="2"/>
  <c r="I8" i="2"/>
  <c r="L8" i="1" s="1"/>
  <c r="I9" i="2"/>
  <c r="L9" i="1" s="1"/>
  <c r="I10" i="2"/>
  <c r="I11" i="2"/>
  <c r="I12" i="2"/>
  <c r="I13" i="2"/>
  <c r="I14" i="2"/>
  <c r="I15" i="2"/>
  <c r="I16" i="2"/>
  <c r="L16" i="1" s="1"/>
  <c r="I17" i="2"/>
  <c r="L17" i="1" s="1"/>
  <c r="I18" i="2"/>
  <c r="L18" i="1" s="1"/>
  <c r="I19" i="2"/>
  <c r="I20" i="2"/>
  <c r="I21" i="2"/>
  <c r="I22" i="2"/>
  <c r="I23" i="2"/>
  <c r="I24" i="2"/>
  <c r="L24" i="1" s="1"/>
  <c r="I25" i="2"/>
  <c r="L25" i="1" s="1"/>
  <c r="I26" i="2"/>
  <c r="L26" i="1" s="1"/>
  <c r="I27" i="2"/>
  <c r="I28" i="2"/>
  <c r="I29" i="2"/>
  <c r="I30" i="2"/>
  <c r="I31" i="2"/>
  <c r="I32" i="2"/>
  <c r="L32" i="1" s="1"/>
  <c r="I33" i="2"/>
  <c r="L33" i="1" s="1"/>
  <c r="I34" i="2"/>
  <c r="L34" i="1" s="1"/>
  <c r="I35" i="2"/>
  <c r="I36" i="2"/>
  <c r="I37" i="2"/>
  <c r="I38" i="2"/>
  <c r="I39" i="2"/>
  <c r="I40" i="2"/>
  <c r="L40" i="1" s="1"/>
  <c r="I41" i="2"/>
  <c r="L41" i="1" s="1"/>
  <c r="I42" i="2"/>
  <c r="L42" i="1" s="1"/>
  <c r="I43" i="2"/>
  <c r="I44" i="2"/>
  <c r="I45" i="2"/>
  <c r="I46" i="2"/>
  <c r="I47" i="2"/>
  <c r="I48" i="2"/>
  <c r="L48" i="1" s="1"/>
  <c r="I49" i="2"/>
  <c r="L49" i="1" s="1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L64" i="1" s="1"/>
  <c r="I65" i="2"/>
  <c r="L65" i="1" s="1"/>
  <c r="I66" i="2"/>
  <c r="L66" i="1" s="1"/>
  <c r="I67" i="2"/>
  <c r="I68" i="2"/>
  <c r="I69" i="2"/>
  <c r="I70" i="2"/>
  <c r="I71" i="2"/>
  <c r="J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D4" i="4" s="1" a="1"/>
  <c r="D4" i="4" s="1"/>
  <c r="J25" i="3"/>
  <c r="D5" i="4" s="1" a="1"/>
  <c r="D5" i="4" s="1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G6" i="4" s="1" a="1"/>
  <c r="G6" i="4" s="1"/>
  <c r="J57" i="3"/>
  <c r="G7" i="4" s="1" a="1"/>
  <c r="G7" i="4" s="1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I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K18" i="1" s="1"/>
  <c r="I19" i="3"/>
  <c r="K19" i="1" s="1"/>
  <c r="I20" i="3"/>
  <c r="I21" i="3"/>
  <c r="I22" i="3"/>
  <c r="I23" i="3"/>
  <c r="I24" i="3"/>
  <c r="K24" i="1" s="1"/>
  <c r="I25" i="3"/>
  <c r="K25" i="1" s="1"/>
  <c r="I26" i="3"/>
  <c r="K26" i="1" s="1"/>
  <c r="I27" i="3"/>
  <c r="K27" i="1" s="1"/>
  <c r="I28" i="3"/>
  <c r="I29" i="3"/>
  <c r="I30" i="3"/>
  <c r="I31" i="3"/>
  <c r="I32" i="3"/>
  <c r="I33" i="3"/>
  <c r="I34" i="3"/>
  <c r="K34" i="1" s="1"/>
  <c r="I35" i="3"/>
  <c r="K35" i="1" s="1"/>
  <c r="I36" i="3"/>
  <c r="I37" i="3"/>
  <c r="I38" i="3"/>
  <c r="I39" i="3"/>
  <c r="I40" i="3"/>
  <c r="I41" i="3"/>
  <c r="I42" i="3"/>
  <c r="K42" i="1" s="1"/>
  <c r="I43" i="3"/>
  <c r="K43" i="1" s="1"/>
  <c r="I44" i="3"/>
  <c r="I45" i="3"/>
  <c r="I46" i="3"/>
  <c r="I47" i="3"/>
  <c r="I48" i="3"/>
  <c r="I49" i="3"/>
  <c r="I50" i="3"/>
  <c r="K50" i="1" s="1"/>
  <c r="I51" i="3"/>
  <c r="K51" i="1" s="1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K66" i="1" s="1"/>
  <c r="I67" i="3"/>
  <c r="K67" i="1" s="1"/>
  <c r="I68" i="3"/>
  <c r="I69" i="3"/>
  <c r="I70" i="3"/>
  <c r="I71" i="3"/>
  <c r="H6" i="5" a="1"/>
  <c r="H6" i="5" s="1"/>
  <c r="G3" i="5" a="1"/>
  <c r="G3" i="5" s="1"/>
  <c r="G4" i="5" a="1"/>
  <c r="G4" i="5" s="1"/>
  <c r="G11" i="5" a="1"/>
  <c r="G11" i="5" s="1"/>
  <c r="F2" i="5" a="1"/>
  <c r="F2" i="5" s="1"/>
  <c r="F7" i="5" a="1"/>
  <c r="F7" i="5" s="1"/>
  <c r="F8" i="5" a="1"/>
  <c r="F8" i="5" s="1"/>
  <c r="E4" i="5" a="1"/>
  <c r="E4" i="5" s="1"/>
  <c r="E5" i="5" a="1"/>
  <c r="E5" i="5" s="1"/>
  <c r="D2" i="5" a="1"/>
  <c r="D2" i="5" s="1"/>
  <c r="D8" i="5" a="1"/>
  <c r="D8" i="5" s="1"/>
  <c r="D9" i="5" a="1"/>
  <c r="D9" i="5" s="1"/>
  <c r="C7" i="5" a="1"/>
  <c r="C7" i="5" s="1"/>
  <c r="B2" i="5" a="1"/>
  <c r="B2" i="5" s="1"/>
  <c r="B4" i="5" a="1"/>
  <c r="B4" i="5" s="1"/>
  <c r="B5" i="5" a="1"/>
  <c r="B5" i="5" s="1"/>
  <c r="B10" i="5" a="1"/>
  <c r="B10" i="5" s="1"/>
  <c r="B11" i="5" a="1"/>
  <c r="B11" i="5" s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A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B2" i="4" a="1"/>
  <c r="B2" i="4" s="1"/>
  <c r="B3" i="4" a="1"/>
  <c r="B3" i="4" s="1"/>
  <c r="B4" i="4" a="1"/>
  <c r="B4" i="4" s="1"/>
  <c r="B5" i="4" a="1"/>
  <c r="B5" i="4" s="1"/>
  <c r="B6" i="4" a="1"/>
  <c r="B6" i="4" s="1"/>
  <c r="B7" i="4" a="1"/>
  <c r="B7" i="4" s="1"/>
  <c r="B8" i="4" a="1"/>
  <c r="B8" i="4" s="1"/>
  <c r="B9" i="4" a="1"/>
  <c r="B9" i="4" s="1"/>
  <c r="B10" i="4" a="1"/>
  <c r="B10" i="4" s="1"/>
  <c r="B11" i="4" a="1"/>
  <c r="B11" i="4" s="1"/>
  <c r="D2" i="4" a="1"/>
  <c r="D2" i="4" s="1"/>
  <c r="D3" i="4" a="1"/>
  <c r="D3" i="4" s="1"/>
  <c r="D6" i="4" a="1"/>
  <c r="D6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G2" i="4" a="1"/>
  <c r="G2" i="4" s="1"/>
  <c r="G3" i="4" a="1"/>
  <c r="G3" i="4" s="1"/>
  <c r="G4" i="4" a="1"/>
  <c r="G4" i="4" s="1"/>
  <c r="G5" i="4" a="1"/>
  <c r="G5" i="4" s="1"/>
  <c r="G8" i="4" a="1"/>
  <c r="G8" i="4" s="1"/>
  <c r="G9" i="4" a="1"/>
  <c r="G9" i="4" s="1"/>
  <c r="G10" i="4" a="1"/>
  <c r="G10" i="4" s="1"/>
  <c r="G11" i="4" a="1"/>
  <c r="G11" i="4" s="1"/>
  <c r="E2" i="4" a="1"/>
  <c r="E2" i="4" s="1"/>
  <c r="E3" i="4" a="1"/>
  <c r="E3" i="4" s="1"/>
  <c r="E4" i="4" a="1"/>
  <c r="E4" i="4" s="1"/>
  <c r="E5" i="4" a="1"/>
  <c r="E5" i="4" s="1"/>
  <c r="E6" i="4" a="1"/>
  <c r="E6" i="4" s="1"/>
  <c r="E7" i="4" a="1"/>
  <c r="E7" i="4" s="1"/>
  <c r="E8" i="4" a="1"/>
  <c r="E8" i="4" s="1"/>
  <c r="E9" i="4" a="1"/>
  <c r="E9" i="4" s="1"/>
  <c r="E10" i="4" a="1"/>
  <c r="E10" i="4" s="1"/>
  <c r="E11" i="4" a="1"/>
  <c r="E11" i="4" s="1"/>
  <c r="F2" i="4" a="1"/>
  <c r="F2" i="4" s="1"/>
  <c r="F3" i="4" a="1"/>
  <c r="F3" i="4" s="1"/>
  <c r="F4" i="4" a="1"/>
  <c r="F4" i="4" s="1"/>
  <c r="F5" i="4" a="1"/>
  <c r="F5" i="4" s="1"/>
  <c r="F6" i="4" a="1"/>
  <c r="F6" i="4" s="1"/>
  <c r="F7" i="4" a="1"/>
  <c r="F7" i="4" s="1"/>
  <c r="F8" i="4" a="1"/>
  <c r="F8" i="4" s="1"/>
  <c r="F9" i="4" a="1"/>
  <c r="F9" i="4" s="1"/>
  <c r="F10" i="4" a="1"/>
  <c r="F10" i="4" s="1"/>
  <c r="F11" i="4" a="1"/>
  <c r="F11" i="4" s="1"/>
  <c r="C2" i="4" a="1"/>
  <c r="C2" i="4" s="1"/>
  <c r="C3" i="4" a="1"/>
  <c r="C3" i="4" s="1"/>
  <c r="C4" i="4" a="1"/>
  <c r="C4" i="4" s="1"/>
  <c r="C5" i="4" a="1"/>
  <c r="C5" i="4" s="1"/>
  <c r="C6" i="4" a="1"/>
  <c r="C6" i="4" s="1"/>
  <c r="C7" i="4" a="1"/>
  <c r="C7" i="4" s="1"/>
  <c r="C8" i="4" a="1"/>
  <c r="C8" i="4" s="1"/>
  <c r="C9" i="4" a="1"/>
  <c r="C9" i="4" s="1"/>
  <c r="C10" i="4" a="1"/>
  <c r="C10" i="4" s="1"/>
  <c r="C11" i="4" a="1"/>
  <c r="C11" i="4" s="1"/>
  <c r="H2" i="4" a="1"/>
  <c r="H2" i="4" s="1"/>
  <c r="H3" i="4" a="1"/>
  <c r="H3" i="4" s="1"/>
  <c r="H4" i="4" a="1"/>
  <c r="H4" i="4" s="1"/>
  <c r="H5" i="4" a="1"/>
  <c r="H5" i="4" s="1"/>
  <c r="H6" i="4" a="1"/>
  <c r="H6" i="4" s="1"/>
  <c r="H7" i="4" a="1"/>
  <c r="H7" i="4" s="1"/>
  <c r="H8" i="4" a="1"/>
  <c r="H8" i="4" s="1"/>
  <c r="H9" i="4" a="1"/>
  <c r="H9" i="4" s="1"/>
  <c r="H10" i="4" a="1"/>
  <c r="H10" i="4" s="1"/>
  <c r="H11" i="4" a="1"/>
  <c r="H11" i="4" s="1"/>
  <c r="K2" i="1"/>
  <c r="K3" i="1"/>
  <c r="K4" i="1"/>
  <c r="K5" i="1"/>
  <c r="K6" i="1"/>
  <c r="K7" i="1"/>
  <c r="K8" i="1"/>
  <c r="K9" i="1"/>
  <c r="K10" i="1"/>
  <c r="K11" i="1"/>
  <c r="K22" i="1"/>
  <c r="K23" i="1"/>
  <c r="K28" i="1"/>
  <c r="K29" i="1"/>
  <c r="K30" i="1"/>
  <c r="K31" i="1"/>
  <c r="K52" i="1"/>
  <c r="K53" i="1"/>
  <c r="K54" i="1"/>
  <c r="K55" i="1"/>
  <c r="K56" i="1"/>
  <c r="K57" i="1"/>
  <c r="K58" i="1"/>
  <c r="K59" i="1"/>
  <c r="K60" i="1"/>
  <c r="K61" i="1"/>
  <c r="K32" i="1"/>
  <c r="K33" i="1"/>
  <c r="K36" i="1"/>
  <c r="K37" i="1"/>
  <c r="K38" i="1"/>
  <c r="K39" i="1"/>
  <c r="K40" i="1"/>
  <c r="K41" i="1"/>
  <c r="K44" i="1"/>
  <c r="K45" i="1"/>
  <c r="K46" i="1"/>
  <c r="K47" i="1"/>
  <c r="K48" i="1"/>
  <c r="K49" i="1"/>
  <c r="K12" i="1"/>
  <c r="K13" i="1"/>
  <c r="K14" i="1"/>
  <c r="K15" i="1"/>
  <c r="K16" i="1"/>
  <c r="K17" i="1"/>
  <c r="K20" i="1"/>
  <c r="K21" i="1"/>
  <c r="K62" i="1"/>
  <c r="K63" i="1"/>
  <c r="K64" i="1"/>
  <c r="K65" i="1"/>
  <c r="K68" i="1"/>
  <c r="K69" i="1"/>
  <c r="K70" i="1"/>
  <c r="K71" i="1"/>
  <c r="B3" i="5" a="1"/>
  <c r="B3" i="5" s="1"/>
  <c r="B6" i="5" a="1"/>
  <c r="B6" i="5" s="1"/>
  <c r="B9" i="5" a="1"/>
  <c r="B9" i="5" s="1"/>
  <c r="D5" i="5" a="1"/>
  <c r="D5" i="5" s="1"/>
  <c r="D6" i="5" a="1"/>
  <c r="D6" i="5" s="1"/>
  <c r="D7" i="5" a="1"/>
  <c r="D7" i="5" s="1"/>
  <c r="D10" i="5" a="1"/>
  <c r="D10" i="5" s="1"/>
  <c r="G2" i="5" a="1"/>
  <c r="G2" i="5" s="1"/>
  <c r="G7" i="5" a="1"/>
  <c r="G7" i="5" s="1"/>
  <c r="G8" i="5" a="1"/>
  <c r="G8" i="5" s="1"/>
  <c r="G9" i="5" a="1"/>
  <c r="G9" i="5" s="1"/>
  <c r="G10" i="5" a="1"/>
  <c r="G10" i="5" s="1"/>
  <c r="E3" i="5" a="1"/>
  <c r="E3" i="5" s="1"/>
  <c r="E6" i="5" a="1"/>
  <c r="E6" i="5" s="1"/>
  <c r="E7" i="5" a="1"/>
  <c r="E7" i="5" s="1"/>
  <c r="E8" i="5" a="1"/>
  <c r="E8" i="5" s="1"/>
  <c r="E9" i="5" a="1"/>
  <c r="E9" i="5" s="1"/>
  <c r="E10" i="5" a="1"/>
  <c r="E10" i="5" s="1"/>
  <c r="E11" i="5" a="1"/>
  <c r="E11" i="5" s="1"/>
  <c r="F3" i="5" a="1"/>
  <c r="F3" i="5" s="1"/>
  <c r="F4" i="5" a="1"/>
  <c r="F4" i="5" s="1"/>
  <c r="F5" i="5" a="1"/>
  <c r="F5" i="5" s="1"/>
  <c r="F6" i="5" a="1"/>
  <c r="F6" i="5" s="1"/>
  <c r="F9" i="5" a="1"/>
  <c r="F9" i="5" s="1"/>
  <c r="F10" i="5" a="1"/>
  <c r="F10" i="5" s="1"/>
  <c r="F11" i="5" a="1"/>
  <c r="F11" i="5" s="1"/>
  <c r="C2" i="5" a="1"/>
  <c r="C2" i="5" s="1"/>
  <c r="C3" i="5" a="1"/>
  <c r="C3" i="5" s="1"/>
  <c r="C4" i="5" a="1"/>
  <c r="C4" i="5" s="1"/>
  <c r="C8" i="5" a="1"/>
  <c r="C8" i="5" s="1"/>
  <c r="C9" i="5" a="1"/>
  <c r="C9" i="5" s="1"/>
  <c r="C10" i="5" a="1"/>
  <c r="C10" i="5" s="1"/>
  <c r="C11" i="5" a="1"/>
  <c r="C11" i="5" s="1"/>
  <c r="H2" i="5" a="1"/>
  <c r="H2" i="5" s="1"/>
  <c r="H5" i="5" a="1"/>
  <c r="H5" i="5" s="1"/>
  <c r="H7" i="5" a="1"/>
  <c r="H7" i="5" s="1"/>
  <c r="H8" i="5" a="1"/>
  <c r="H8" i="5" s="1"/>
  <c r="H9" i="5" a="1"/>
  <c r="H9" i="5" s="1"/>
  <c r="H10" i="5" a="1"/>
  <c r="H10" i="5" s="1"/>
  <c r="H11" i="5" a="1"/>
  <c r="H11" i="5" s="1"/>
  <c r="L3" i="1"/>
  <c r="L4" i="1"/>
  <c r="L5" i="1"/>
  <c r="L6" i="1"/>
  <c r="L7" i="1"/>
  <c r="L10" i="1"/>
  <c r="L11" i="1"/>
  <c r="L22" i="1"/>
  <c r="L23" i="1"/>
  <c r="L27" i="1"/>
  <c r="L28" i="1"/>
  <c r="L29" i="1"/>
  <c r="L30" i="1"/>
  <c r="L31" i="1"/>
  <c r="L52" i="1"/>
  <c r="L53" i="1"/>
  <c r="L54" i="1"/>
  <c r="L55" i="1"/>
  <c r="L56" i="1"/>
  <c r="L57" i="1"/>
  <c r="L58" i="1"/>
  <c r="L59" i="1"/>
  <c r="L60" i="1"/>
  <c r="L61" i="1"/>
  <c r="L35" i="1"/>
  <c r="L36" i="1"/>
  <c r="L37" i="1"/>
  <c r="L38" i="1"/>
  <c r="L39" i="1"/>
  <c r="L43" i="1"/>
  <c r="L44" i="1"/>
  <c r="L45" i="1"/>
  <c r="L46" i="1"/>
  <c r="L47" i="1"/>
  <c r="L50" i="1"/>
  <c r="L51" i="1"/>
  <c r="L12" i="1"/>
  <c r="L13" i="1"/>
  <c r="L14" i="1"/>
  <c r="L15" i="1"/>
  <c r="L19" i="1"/>
  <c r="L20" i="1"/>
  <c r="L21" i="1"/>
  <c r="L62" i="1"/>
  <c r="L63" i="1"/>
  <c r="L67" i="1"/>
  <c r="L68" i="1"/>
  <c r="L69" i="1"/>
  <c r="L70" i="1"/>
  <c r="L7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FCF550-5EC7-4E01-BF5B-196F5ACDF0EF}" keepAlive="1" name="Query - wOver" description="Connection to the 'wOver' query in the workbook." type="5" refreshedVersion="8" background="1" saveData="1">
    <dbPr connection="Provider=Microsoft.Mashup.OleDb.1;Data Source=$Workbook$;Location=wOver;Extended Properties=&quot;&quot;" command="SELECT * FROM [wOver]"/>
  </connection>
  <connection id="2" xr16:uid="{F3113641-00BB-4104-9409-F577A66D40F8}" keepAlive="1" name="Query - wTask" description="Connection to the 'wTask' query in the workbook." type="5" refreshedVersion="8" background="1" saveData="1">
    <dbPr connection="Provider=Microsoft.Mashup.OleDb.1;Data Source=$Workbook$;Location=wTask;Extended Properties=&quot;&quot;" command="SELECT * FROM [wTask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<sst xmlns="http://schemas.openxmlformats.org/spreadsheetml/2006/main" count="191" uniqueCount="23">
  <si>
    <t>FCFS</t>
  </si>
  <si>
    <t>LCFS</t>
  </si>
  <si>
    <t>SJF</t>
  </si>
  <si>
    <t>LJF</t>
  </si>
  <si>
    <t>RR</t>
  </si>
  <si>
    <t>LBW</t>
  </si>
  <si>
    <t>WS</t>
  </si>
  <si>
    <t>Heuristic</t>
  </si>
  <si>
    <t>Variance</t>
  </si>
  <si>
    <t>W1</t>
  </si>
  <si>
    <t>W2</t>
  </si>
  <si>
    <t>W3</t>
  </si>
  <si>
    <t>W4</t>
  </si>
  <si>
    <t>W5</t>
  </si>
  <si>
    <t>Mean</t>
  </si>
  <si>
    <t>StDev</t>
  </si>
  <si>
    <t>Average</t>
  </si>
  <si>
    <t>AvT</t>
  </si>
  <si>
    <t>AvO</t>
  </si>
  <si>
    <t>Task time distribution clustering per heuristic</t>
  </si>
  <si>
    <t>W0</t>
  </si>
  <si>
    <t>Quality of the load balancing</t>
  </si>
  <si>
    <t>Instability of the overhead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</si>
</sst>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35"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</dxf>
    <dxf>
      <numFmt numFmtId="0" formatCode="General"/>
      <fill>
        <patternFill patternType="none">
          <fgColor indexed="64"/>
          <bgColor auto="1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Ratios!$B$2:$B$11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Ratios!$I$2:$I$11</c:f>
              <c:numCache>
                <c:formatCode>General</c:formatCode>
                <c:ptCount val="10"/>
                <c:pt idx="0">
                  <c:v>7.9722825121523145E-7</c:v>
                </c:pt>
                <c:pt idx="1">
                  <c:v>1.0504692168562081E-6</c:v>
                </c:pt>
                <c:pt idx="2">
                  <c:v>1.0618477271375962E-6</c:v>
                </c:pt>
                <c:pt idx="3">
                  <c:v>1.0840182912839031E-6</c:v>
                </c:pt>
                <c:pt idx="4">
                  <c:v>1.0821986864331384E-6</c:v>
                </c:pt>
                <c:pt idx="5">
                  <c:v>1.1003840072313198E-6</c:v>
                </c:pt>
                <c:pt idx="6">
                  <c:v>1.0849167448229837E-6</c:v>
                </c:pt>
                <c:pt idx="7">
                  <c:v>1.0549987253371983E-6</c:v>
                </c:pt>
                <c:pt idx="8">
                  <c:v>1.0266618734200103E-6</c:v>
                </c:pt>
                <c:pt idx="9">
                  <c:v>1.0123704064363709E-6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C-4519-9CCD-35EB02AB9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Ratios!$B$2:$B$11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Ratios!$J$2:$J$11</c:f>
              <c:numCache>
                <c:formatCode>General</c:formatCode>
                <c:ptCount val="10"/>
                <c:pt idx="0">
                  <c:v>2.0219373147280614E-7</c:v>
                </c:pt>
                <c:pt idx="1">
                  <c:v>8.132017921660319E-8</c:v>
                </c:pt>
                <c:pt idx="2">
                  <c:v>1.1203893717416918E-7</c:v>
                </c:pt>
                <c:pt idx="3">
                  <c:v>1.6146537280436615E-8</c:v>
                </c:pt>
                <c:pt idx="4">
                  <c:v>3.9139509908575718E-8</c:v>
                </c:pt>
                <c:pt idx="5">
                  <c:v>4.3088289806856095E-8</c:v>
                </c:pt>
                <c:pt idx="6">
                  <c:v>1.1731257491615572E-8</c:v>
                </c:pt>
                <c:pt idx="7">
                  <c:v>2.8157604063948985E-8</c:v>
                </c:pt>
                <c:pt idx="8">
                  <c:v>2.3161105665326961E-8</c:v>
                </c:pt>
                <c:pt idx="9">
                  <c:v>2.6555173639477063E-8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AC-4519-9CCD-35EB02AB9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Ratios!$B$12:$B$21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Ratios!$I$12:$I$21</c:f>
              <c:numCache>
                <c:formatCode>General</c:formatCode>
                <c:ptCount val="10"/>
                <c:pt idx="0">
                  <c:v>8.0366810787406797E-7</c:v>
                </c:pt>
                <c:pt idx="1">
                  <c:v>9.7894220951187024E-7</c:v>
                </c:pt>
                <c:pt idx="2">
                  <c:v>1.0913286915538641E-6</c:v>
                </c:pt>
                <c:pt idx="3">
                  <c:v>1.0527914083725252E-6</c:v>
                </c:pt>
                <c:pt idx="4">
                  <c:v>1.0862268171161016E-6</c:v>
                </c:pt>
                <c:pt idx="5">
                  <c:v>1.0685241363939526E-6</c:v>
                </c:pt>
                <c:pt idx="6">
                  <c:v>1.0992524115830414E-6</c:v>
                </c:pt>
                <c:pt idx="7">
                  <c:v>1.0723852207297539E-6</c:v>
                </c:pt>
                <c:pt idx="8">
                  <c:v>1.0051525328373762E-6</c:v>
                </c:pt>
                <c:pt idx="9">
                  <c:v>9.9874080731301401E-7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B9-416C-ACBA-A5332072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Ratios!$B$12:$B$21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Ratios!$J$12:$J$21</c:f>
              <c:numCache>
                <c:formatCode>General</c:formatCode>
                <c:ptCount val="10"/>
                <c:pt idx="0">
                  <c:v>2.5485804572966673E-7</c:v>
                </c:pt>
                <c:pt idx="1">
                  <c:v>1.499188866447751E-7</c:v>
                </c:pt>
                <c:pt idx="2">
                  <c:v>4.3815827562210563E-8</c:v>
                </c:pt>
                <c:pt idx="3">
                  <c:v>2.8586181241376203E-8</c:v>
                </c:pt>
                <c:pt idx="4">
                  <c:v>1.992942469533805E-8</c:v>
                </c:pt>
                <c:pt idx="5">
                  <c:v>2.8319479180373599E-8</c:v>
                </c:pt>
                <c:pt idx="6">
                  <c:v>3.778270218566213E-8</c:v>
                </c:pt>
                <c:pt idx="7">
                  <c:v>2.451762064577503E-8</c:v>
                </c:pt>
                <c:pt idx="8">
                  <c:v>3.793489264071028E-8</c:v>
                </c:pt>
                <c:pt idx="9">
                  <c:v>5.4725930370716391E-8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B9-416C-ACBA-A5332072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Ratios!$B$22:$B$31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Ratios!$I$22:$I$31</c:f>
              <c:numCache>
                <c:formatCode>General</c:formatCode>
                <c:ptCount val="10"/>
                <c:pt idx="0">
                  <c:v>2.5157378197819702E-6</c:v>
                </c:pt>
                <c:pt idx="1">
                  <c:v>3.1879595490384938E-6</c:v>
                </c:pt>
                <c:pt idx="2">
                  <c:v>3.1433257752412062E-6</c:v>
                </c:pt>
                <c:pt idx="3">
                  <c:v>3.057732593001259E-6</c:v>
                </c:pt>
                <c:pt idx="4">
                  <c:v>3.0586460814225314E-6</c:v>
                </c:pt>
                <c:pt idx="5">
                  <c:v>3.0737761655400101E-6</c:v>
                </c:pt>
                <c:pt idx="6">
                  <c:v>3.0072250906363216E-6</c:v>
                </c:pt>
                <c:pt idx="7">
                  <c:v>2.9016020872521955E-6</c:v>
                </c:pt>
                <c:pt idx="8">
                  <c:v>2.5931072120359253E-6</c:v>
                </c:pt>
                <c:pt idx="9">
                  <c:v>2.6479842153929885E-6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7-4DC0-8435-17248CAE4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Ratios!$B$22:$B$31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Ratios!$J$22:$J$31</c:f>
              <c:numCache>
                <c:formatCode>General</c:formatCode>
                <c:ptCount val="10"/>
                <c:pt idx="0">
                  <c:v>4.3047746019041065E-7</c:v>
                </c:pt>
                <c:pt idx="1">
                  <c:v>9.2842167916164059E-8</c:v>
                </c:pt>
                <c:pt idx="2">
                  <c:v>8.6117014150178188E-8</c:v>
                </c:pt>
                <c:pt idx="3">
                  <c:v>1.2734596522268016E-7</c:v>
                </c:pt>
                <c:pt idx="4">
                  <c:v>1.3614147184664333E-7</c:v>
                </c:pt>
                <c:pt idx="5">
                  <c:v>6.2135371379980161E-8</c:v>
                </c:pt>
                <c:pt idx="6">
                  <c:v>5.7012832682106529E-8</c:v>
                </c:pt>
                <c:pt idx="7">
                  <c:v>4.3362621998781683E-8</c:v>
                </c:pt>
                <c:pt idx="8">
                  <c:v>5.9537466147273164E-8</c:v>
                </c:pt>
                <c:pt idx="9">
                  <c:v>6.4164133678938634E-8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37-4DC0-8435-17248CAE43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Ratios!$B$32:$B$41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Ratios!$I$32:$I$41</c:f>
              <c:numCache>
                <c:formatCode>General</c:formatCode>
                <c:ptCount val="10"/>
                <c:pt idx="0">
                  <c:v>1.7884356157891116E-6</c:v>
                </c:pt>
                <c:pt idx="1">
                  <c:v>2.4728878006058042E-6</c:v>
                </c:pt>
                <c:pt idx="2">
                  <c:v>2.2866077465378898E-6</c:v>
                </c:pt>
                <c:pt idx="3">
                  <c:v>2.4849363368537048E-6</c:v>
                </c:pt>
                <c:pt idx="4">
                  <c:v>2.5193345031177038E-6</c:v>
                </c:pt>
                <c:pt idx="5">
                  <c:v>2.8154196193621586E-6</c:v>
                </c:pt>
                <c:pt idx="6">
                  <c:v>3.0644525045746294E-6</c:v>
                </c:pt>
                <c:pt idx="7">
                  <c:v>3.2764717576547762E-6</c:v>
                </c:pt>
                <c:pt idx="8">
                  <c:v>3.2067907699172264E-6</c:v>
                </c:pt>
                <c:pt idx="9">
                  <c:v>3.1451293018107969E-6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5D-4FF5-839C-9D1F7826A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Ratios!$B$32:$B$41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Ratios!$J$32:$J$41</c:f>
              <c:numCache>
                <c:formatCode>General</c:formatCode>
                <c:ptCount val="10"/>
                <c:pt idx="0">
                  <c:v>1.2054200580107274E-7</c:v>
                </c:pt>
                <c:pt idx="1">
                  <c:v>3.9104873258814686E-7</c:v>
                </c:pt>
                <c:pt idx="2">
                  <c:v>1.396175025353389E-7</c:v>
                </c:pt>
                <c:pt idx="3">
                  <c:v>1.4919428313849518E-7</c:v>
                </c:pt>
                <c:pt idx="4">
                  <c:v>9.4229495111098494E-8</c:v>
                </c:pt>
                <c:pt idx="5">
                  <c:v>3.282083245907708E-8</c:v>
                </c:pt>
                <c:pt idx="6">
                  <c:v>6.5696839662542442E-8</c:v>
                </c:pt>
                <c:pt idx="7">
                  <c:v>1.2097178048566773E-8</c:v>
                </c:pt>
                <c:pt idx="8">
                  <c:v>5.0795571188684E-8</c:v>
                </c:pt>
                <c:pt idx="9">
                  <c:v>6.2553457453088479E-8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35D-4FF5-839C-9D1F7826AB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Ratios!$B$42:$B$51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Ratios!$I$42:$I$51</c:f>
              <c:numCache>
                <c:formatCode>General</c:formatCode>
                <c:ptCount val="10"/>
                <c:pt idx="0">
                  <c:v>8.318341842873997E-7</c:v>
                </c:pt>
                <c:pt idx="1">
                  <c:v>1.1841851275793832E-6</c:v>
                </c:pt>
                <c:pt idx="2">
                  <c:v>1.033267630626851E-6</c:v>
                </c:pt>
                <c:pt idx="3">
                  <c:v>1.0575349295985592E-6</c:v>
                </c:pt>
                <c:pt idx="4">
                  <c:v>1.0736043570310355E-6</c:v>
                </c:pt>
                <c:pt idx="5">
                  <c:v>1.0646416049854429E-6</c:v>
                </c:pt>
                <c:pt idx="6">
                  <c:v>1.0828510147695485E-6</c:v>
                </c:pt>
                <c:pt idx="7">
                  <c:v>1.059818279259184E-6</c:v>
                </c:pt>
                <c:pt idx="8">
                  <c:v>1.0220418101239556E-6</c:v>
                </c:pt>
                <c:pt idx="9">
                  <c:v>1.0217433574512311E-6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7A-4116-B15A-FCFDC8D1F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Ratios!$B$42:$B$51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Ratios!$J$42:$J$51</c:f>
              <c:numCache>
                <c:formatCode>General</c:formatCode>
                <c:ptCount val="10"/>
                <c:pt idx="0">
                  <c:v>1.1049871439323957E-7</c:v>
                </c:pt>
                <c:pt idx="1">
                  <c:v>1.5581777679109837E-7</c:v>
                </c:pt>
                <c:pt idx="2">
                  <c:v>4.4520600504441456E-8</c:v>
                </c:pt>
                <c:pt idx="3">
                  <c:v>1.9750551242538288E-8</c:v>
                </c:pt>
                <c:pt idx="4">
                  <c:v>2.5712600757230456E-8</c:v>
                </c:pt>
                <c:pt idx="5">
                  <c:v>1.4256553972037623E-8</c:v>
                </c:pt>
                <c:pt idx="6">
                  <c:v>1.6148795807085274E-8</c:v>
                </c:pt>
                <c:pt idx="7">
                  <c:v>1.7183867583142907E-8</c:v>
                </c:pt>
                <c:pt idx="8">
                  <c:v>2.2250784093644782E-8</c:v>
                </c:pt>
                <c:pt idx="9">
                  <c:v>4.5800467952736816E-8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7A-4116-B15A-FCFDC8D1F5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Ratios!$B$52:$B$61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Ratios!$I$52:$I$61</c:f>
              <c:numCache>
                <c:formatCode>General</c:formatCode>
                <c:ptCount val="10"/>
                <c:pt idx="0">
                  <c:v>7.6291183125807905E-7</c:v>
                </c:pt>
                <c:pt idx="1">
                  <c:v>1.1249828634587848E-6</c:v>
                </c:pt>
                <c:pt idx="2">
                  <c:v>1.1807343582886082E-6</c:v>
                </c:pt>
                <c:pt idx="3">
                  <c:v>1.1252900411146104E-6</c:v>
                </c:pt>
                <c:pt idx="4">
                  <c:v>1.2142908157064009E-6</c:v>
                </c:pt>
                <c:pt idx="5">
                  <c:v>1.1915899679031763E-6</c:v>
                </c:pt>
                <c:pt idx="6">
                  <c:v>1.1563510513419263E-6</c:v>
                </c:pt>
                <c:pt idx="7">
                  <c:v>1.1760647273622249E-6</c:v>
                </c:pt>
                <c:pt idx="8">
                  <c:v>1.1695448020500729E-6</c:v>
                </c:pt>
                <c:pt idx="9">
                  <c:v>1.1480594144812774E-6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68-48A0-AA7B-C94EBBA39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Ratios!$B$52:$B$61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Ratios!$J$52:$J$61</c:f>
              <c:numCache>
                <c:formatCode>General</c:formatCode>
                <c:ptCount val="10"/>
                <c:pt idx="0">
                  <c:v>7.669556600499506E-8</c:v>
                </c:pt>
                <c:pt idx="1">
                  <c:v>7.0059069049140859E-8</c:v>
                </c:pt>
                <c:pt idx="2">
                  <c:v>3.2350115364036697E-8</c:v>
                </c:pt>
                <c:pt idx="3">
                  <c:v>4.7300634134000689E-8</c:v>
                </c:pt>
                <c:pt idx="4">
                  <c:v>4.0118888808480508E-8</c:v>
                </c:pt>
                <c:pt idx="5">
                  <c:v>2.7020806648398889E-8</c:v>
                </c:pt>
                <c:pt idx="6">
                  <c:v>1.2917766384803506E-8</c:v>
                </c:pt>
                <c:pt idx="7">
                  <c:v>2.9821149305733959E-8</c:v>
                </c:pt>
                <c:pt idx="8">
                  <c:v>3.0352086291186138E-8</c:v>
                </c:pt>
                <c:pt idx="9">
                  <c:v>5.0452338986434277E-8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468-48A0-AA7B-C94EBBA39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Ratios!$I$1</c:f>
              <c:strCache>
                <c:ptCount val="1"/>
                <c:pt idx="0">
                  <c:v>Average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Ratios!$B$62:$B$71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Ratios!$I$62:$I$71</c:f>
              <c:numCache>
                <c:formatCode>General</c:formatCode>
                <c:ptCount val="10"/>
                <c:pt idx="0">
                  <c:v>7.5693311771343962E-7</c:v>
                </c:pt>
                <c:pt idx="1">
                  <c:v>9.6579093527187044E-7</c:v>
                </c:pt>
                <c:pt idx="2">
                  <c:v>9.8360856473921405E-7</c:v>
                </c:pt>
                <c:pt idx="3">
                  <c:v>1.0082468705228138E-6</c:v>
                </c:pt>
                <c:pt idx="4">
                  <c:v>9.5129868338270197E-7</c:v>
                </c:pt>
                <c:pt idx="5">
                  <c:v>9.8137603243007179E-7</c:v>
                </c:pt>
                <c:pt idx="6">
                  <c:v>9.6445702180671851E-7</c:v>
                </c:pt>
                <c:pt idx="7">
                  <c:v>9.5829686633488428E-7</c:v>
                </c:pt>
                <c:pt idx="8">
                  <c:v>9.7151589194322675E-7</c:v>
                </c:pt>
                <c:pt idx="9">
                  <c:v>9.4873766212612559E-7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D6B-47FB-9B8B-8781404C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9327503"/>
        <c:axId val="709319343"/>
      </c:barChart>
      <c:lineChart>
        <c:grouping val="standard"/>
        <c:varyColors val="0"/>
        <c:ser>
          <c:idx val="2"/>
          <c:order val="1"/>
          <c:tx>
            <c:strRef>
              <c:f>Ratios!$J$1</c:f>
              <c:strCache>
                <c:ptCount val="1"/>
                <c:pt idx="0">
                  <c:v>StDev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Ratios!$B$62:$B$71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Ratios!$J$62:$J$71</c:f>
              <c:numCache>
                <c:formatCode>General</c:formatCode>
                <c:ptCount val="10"/>
                <c:pt idx="0">
                  <c:v>1.7633853063282741E-7</c:v>
                </c:pt>
                <c:pt idx="1">
                  <c:v>7.7087509033876713E-8</c:v>
                </c:pt>
                <c:pt idx="2">
                  <c:v>4.9241025640939431E-8</c:v>
                </c:pt>
                <c:pt idx="3">
                  <c:v>2.7195403922541827E-8</c:v>
                </c:pt>
                <c:pt idx="4">
                  <c:v>2.7013217219622466E-8</c:v>
                </c:pt>
                <c:pt idx="5">
                  <c:v>2.5476676010886057E-8</c:v>
                </c:pt>
                <c:pt idx="6">
                  <c:v>1.3368863902211886E-8</c:v>
                </c:pt>
                <c:pt idx="7">
                  <c:v>1.0615414232597114E-8</c:v>
                </c:pt>
                <c:pt idx="8">
                  <c:v>3.2834785639814314E-8</c:v>
                </c:pt>
                <c:pt idx="9">
                  <c:v>4.8823673108386137E-8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D6B-47FB-9B8B-8781404C75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9327503"/>
        <c:axId val="709319343"/>
      </c:lineChart>
      <c:catAx>
        <c:axId val="709327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Variance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19343"/>
        <c:crosses val="autoZero"/>
        <c:auto val="1"/>
        <c:lblAlgn val="ctr"/>
        <c:lblOffset val="100"/>
        <c:noMultiLvlLbl val="0"/>
      </c:catAx>
      <c:valAx>
        <c:axId val="709319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Overhead to Task Time 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327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time stdev'!$B$1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stdev'!$B$2:$B$11</c:f>
              <c:numCache>
                <c:formatCode>General</c:formatCode>
                <c:ptCount val="10"/>
                <c:pt idx="0">
                  <c:v>1.2717185716977102E-2</c:v>
                </c:pt>
                <c:pt idx="1">
                  <c:v>0.24882847273381228</c:v>
                </c:pt>
                <c:pt idx="2">
                  <c:v>0.41264167197186896</c:v>
                </c:pt>
                <c:pt idx="3">
                  <c:v>0.25367853920063982</c:v>
                </c:pt>
                <c:pt idx="4">
                  <c:v>0.30102004326713661</c:v>
                </c:pt>
                <c:pt idx="5">
                  <c:v>0.11192411677096363</c:v>
                </c:pt>
                <c:pt idx="6">
                  <c:v>0.71815778564072152</c:v>
                </c:pt>
                <c:pt idx="7">
                  <c:v>0.44567019940419045</c:v>
                </c:pt>
                <c:pt idx="8">
                  <c:v>0.2465736144769953</c:v>
                </c:pt>
                <c:pt idx="9">
                  <c:v>0.88052885299496453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69-4F13-B5FC-5A5B61254D8D}"/>
            </c:ext>
          </c:extLst>
        </c:ser>
        <c:ser>
          <c:idx val="1"/>
          <c:order val="1"/>
          <c:tx>
            <c:strRef>
              <c:f>'task time stdev'!$C$1</c:f>
              <c:strCache>
                <c:ptCount val="1"/>
                <c:pt idx="0">
                  <c:v>LCFS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stdev'!$C$2:$C$11</c:f>
              <c:numCache>
                <c:formatCode>General</c:formatCode>
                <c:ptCount val="10"/>
                <c:pt idx="0">
                  <c:v>0.40860170863646478</c:v>
                </c:pt>
                <c:pt idx="1">
                  <c:v>0.33567343840548708</c:v>
                </c:pt>
                <c:pt idx="2">
                  <c:v>0.36356146182620003</c:v>
                </c:pt>
                <c:pt idx="3">
                  <c:v>0.36596654181309224</c:v>
                </c:pt>
                <c:pt idx="4">
                  <c:v>0.40604785589652892</c:v>
                </c:pt>
                <c:pt idx="5">
                  <c:v>0.42984127229228558</c:v>
                </c:pt>
                <c:pt idx="6">
                  <c:v>0.14355772373702799</c:v>
                </c:pt>
                <c:pt idx="7">
                  <c:v>0.30308012128454104</c:v>
                </c:pt>
                <c:pt idx="8">
                  <c:v>0.41676410921688817</c:v>
                </c:pt>
                <c:pt idx="9">
                  <c:v>1.0119461543318771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269-4F13-B5FC-5A5B61254D8D}"/>
            </c:ext>
          </c:extLst>
        </c:ser>
        <c:ser>
          <c:idx val="2"/>
          <c:order val="2"/>
          <c:tx>
            <c:strRef>
              <c:f>'task time stdev'!$D$1</c:f>
              <c:strCache>
                <c:ptCount val="1"/>
                <c:pt idx="0">
                  <c:v>SJF</c:v>
                </c:pt>
              </c:strCache>
            </c:strRef>
          </c:tx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stdev'!$D$2:$D$11</c:f>
              <c:numCache>
                <c:formatCode>General</c:formatCode>
                <c:ptCount val="10"/>
                <c:pt idx="0">
                  <c:v>0.53209453435621235</c:v>
                </c:pt>
                <c:pt idx="1">
                  <c:v>0.35432442875275383</c:v>
                </c:pt>
                <c:pt idx="2">
                  <c:v>0.48410170288003251</c:v>
                </c:pt>
                <c:pt idx="3">
                  <c:v>0.3706061860557564</c:v>
                </c:pt>
                <c:pt idx="4">
                  <c:v>0.31434781826528646</c:v>
                </c:pt>
                <c:pt idx="5">
                  <c:v>0.43793305800683174</c:v>
                </c:pt>
                <c:pt idx="6">
                  <c:v>0.51152424772189842</c:v>
                </c:pt>
                <c:pt idx="7">
                  <c:v>1.104494458878154</c:v>
                </c:pt>
                <c:pt idx="8">
                  <c:v>1.2609876862503746</c:v>
                </c:pt>
                <c:pt idx="9">
                  <c:v>0.84770176143556508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269-4F13-B5FC-5A5B61254D8D}"/>
            </c:ext>
          </c:extLst>
        </c:ser>
        <c:ser>
          <c:idx val="3"/>
          <c:order val="3"/>
          <c:tx>
            <c:strRef>
              <c:f>'task time stdev'!$E$1</c:f>
              <c:strCache>
                <c:ptCount val="1"/>
                <c:pt idx="0">
                  <c:v>LJF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stdev'!$E$2:$E$11</c:f>
              <c:numCache>
                <c:formatCode>General</c:formatCode>
                <c:ptCount val="10"/>
                <c:pt idx="0">
                  <c:v>0.51503503390858385</c:v>
                </c:pt>
                <c:pt idx="1">
                  <c:v>0.38425887364619649</c:v>
                </c:pt>
                <c:pt idx="2">
                  <c:v>0.38653010682459471</c:v>
                </c:pt>
                <c:pt idx="3">
                  <c:v>0.25657403103711918</c:v>
                </c:pt>
                <c:pt idx="4">
                  <c:v>0.36558314445169182</c:v>
                </c:pt>
                <c:pt idx="5">
                  <c:v>0.21687037702791456</c:v>
                </c:pt>
                <c:pt idx="6">
                  <c:v>0.11465539973747108</c:v>
                </c:pt>
                <c:pt idx="7">
                  <c:v>5.6140949293724145E-2</c:v>
                </c:pt>
                <c:pt idx="8">
                  <c:v>4.7941371663325086E-2</c:v>
                </c:pt>
                <c:pt idx="9">
                  <c:v>2.0371799690758592E-2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269-4F13-B5FC-5A5B61254D8D}"/>
            </c:ext>
          </c:extLst>
        </c:ser>
        <c:ser>
          <c:idx val="4"/>
          <c:order val="4"/>
          <c:tx>
            <c:strRef>
              <c:f>'task time stdev'!$F$1</c:f>
              <c:strCache>
                <c:ptCount val="1"/>
                <c:pt idx="0">
                  <c:v>RR</c:v>
                </c:pt>
              </c:strCache>
            </c:strRef>
          </c:tx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stdev'!$F$2:$F$11</c:f>
              <c:numCache>
                <c:formatCode>General</c:formatCode>
                <c:ptCount val="10"/>
                <c:pt idx="0">
                  <c:v>0.41538441247855318</c:v>
                </c:pt>
                <c:pt idx="1">
                  <c:v>0.28765260730651698</c:v>
                </c:pt>
                <c:pt idx="2">
                  <c:v>0.34722950973751349</c:v>
                </c:pt>
                <c:pt idx="3">
                  <c:v>0.86893151679647473</c:v>
                </c:pt>
                <c:pt idx="4">
                  <c:v>1.224337107253443</c:v>
                </c:pt>
                <c:pt idx="5">
                  <c:v>0.89689593297580261</c:v>
                </c:pt>
                <c:pt idx="6">
                  <c:v>2.1062069708704385</c:v>
                </c:pt>
                <c:pt idx="7">
                  <c:v>3.0753287808081149</c:v>
                </c:pt>
                <c:pt idx="8">
                  <c:v>10.484344477160608</c:v>
                </c:pt>
                <c:pt idx="9">
                  <c:v>17.019237936496459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269-4F13-B5FC-5A5B61254D8D}"/>
            </c:ext>
          </c:extLst>
        </c:ser>
        <c:ser>
          <c:idx val="5"/>
          <c:order val="5"/>
          <c:tx>
            <c:strRef>
              <c:f>'task time stdev'!$G$1</c:f>
              <c:strCache>
                <c:ptCount val="1"/>
                <c:pt idx="0">
                  <c:v>LBW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stdev'!$G$2:$G$11</c:f>
              <c:numCache>
                <c:formatCode>General</c:formatCode>
                <c:ptCount val="10"/>
                <c:pt idx="0">
                  <c:v>0.52695891834130482</c:v>
                </c:pt>
                <c:pt idx="1">
                  <c:v>0.28083374147094653</c:v>
                </c:pt>
                <c:pt idx="2">
                  <c:v>0.36834790980466325</c:v>
                </c:pt>
                <c:pt idx="3">
                  <c:v>0.33759325234585025</c:v>
                </c:pt>
                <c:pt idx="4">
                  <c:v>0.43610154544949092</c:v>
                </c:pt>
                <c:pt idx="5">
                  <c:v>0.52610713418294763</c:v>
                </c:pt>
                <c:pt idx="6">
                  <c:v>0.44118595839596075</c:v>
                </c:pt>
                <c:pt idx="7">
                  <c:v>0.50439204582287023</c:v>
                </c:pt>
                <c:pt idx="8">
                  <c:v>0.94347790591034386</c:v>
                </c:pt>
                <c:pt idx="9">
                  <c:v>5.0744014093413305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269-4F13-B5FC-5A5B61254D8D}"/>
            </c:ext>
          </c:extLst>
        </c:ser>
        <c:ser>
          <c:idx val="6"/>
          <c:order val="6"/>
          <c:tx>
            <c:strRef>
              <c:f>'task time stdev'!$H$1</c:f>
              <c:strCache>
                <c:ptCount val="1"/>
                <c:pt idx="0">
                  <c:v>WS</c:v>
                </c:pt>
              </c:strCache>
            </c:strRef>
          </c:tx>
          <c:spPr>
            <a:solidFill>
              <a:schemeClr val="accent3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'task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'task time stdev'!$H$2:$H$11</c:f>
              <c:numCache>
                <c:formatCode>General</c:formatCode>
                <c:ptCount val="10"/>
                <c:pt idx="0">
                  <c:v>0.51826536473957407</c:v>
                </c:pt>
                <c:pt idx="1">
                  <c:v>0.32057668796679084</c:v>
                </c:pt>
                <c:pt idx="2">
                  <c:v>0.196596599957783</c:v>
                </c:pt>
                <c:pt idx="3">
                  <c:v>0.20124424866373783</c:v>
                </c:pt>
                <c:pt idx="4">
                  <c:v>0.26338401410442591</c:v>
                </c:pt>
                <c:pt idx="5">
                  <c:v>0.33576329159134866</c:v>
                </c:pt>
                <c:pt idx="6">
                  <c:v>0.23036517341857374</c:v>
                </c:pt>
                <c:pt idx="7">
                  <c:v>0.45238324505782251</c:v>
                </c:pt>
                <c:pt idx="8">
                  <c:v>0.95363064315055956</c:v>
                </c:pt>
                <c:pt idx="9">
                  <c:v>0.83282819596976609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269-4F13-B5FC-5A5B61254D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295487"/>
        <c:axId val="663293567"/>
      </c:barChart>
      <c:catAx>
        <c:axId val="66329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93567"/>
        <c:crosses val="autoZero"/>
        <c:auto val="1"/>
        <c:lblAlgn val="ctr"/>
        <c:lblOffset val="100"/>
        <c:noMultiLvlLbl val="0"/>
      </c:catAx>
      <c:valAx>
        <c:axId val="6632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'overhead time stdev'!$B$1</c:f>
              <c:strCache>
                <c:ptCount val="1"/>
                <c:pt idx="0">
                  <c:v>FCFS</c:v>
                </c:pt>
              </c:strCache>
            </c:strRef>
          </c:tx>
          <c:spPr>
            <a:solidFill>
              <a:schemeClr val="accent3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stdev'!$B$2:$B$11</c:f>
              <c:numCache>
                <c:formatCode>General</c:formatCode>
                <c:ptCount val="10"/>
                <c:pt idx="0">
                  <c:v>1.1083320801997929E-4</c:v>
                </c:pt>
                <c:pt idx="1">
                  <c:v>4.5026214586616101E-5</c:v>
                </c:pt>
                <c:pt idx="2">
                  <c:v>6.1730381498902151E-5</c:v>
                </c:pt>
                <c:pt idx="3">
                  <c:v>8.6486993241758563E-6</c:v>
                </c:pt>
                <c:pt idx="4">
                  <c:v>2.1341040274550826E-5</c:v>
                </c:pt>
                <c:pt idx="5">
                  <c:v>2.3938253904577109E-5</c:v>
                </c:pt>
                <c:pt idx="6">
                  <c:v>6.1188234163113049E-6</c:v>
                </c:pt>
                <c:pt idx="7">
                  <c:v>1.5844241856270701E-5</c:v>
                </c:pt>
                <c:pt idx="8">
                  <c:v>1.3661625086350453E-5</c:v>
                </c:pt>
                <c:pt idx="9">
                  <c:v>1.5816447135814034E-5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DE-43C4-805B-C629289C170F}"/>
            </c:ext>
          </c:extLst>
        </c:ser>
        <c:ser>
          <c:idx val="1"/>
          <c:order val="1"/>
          <c:tx>
            <c:strRef>
              <c:f>'overhead time stdev'!$C$1</c:f>
              <c:strCache>
                <c:ptCount val="1"/>
                <c:pt idx="0">
                  <c:v>LCFS</c:v>
                </c:pt>
              </c:strCache>
            </c:strRef>
          </c:tx>
          <c:spPr>
            <a:solidFill>
              <a:schemeClr val="accent3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stdev'!$C$2:$C$11</c:f>
              <c:numCache>
                <c:formatCode>General</c:formatCode>
                <c:ptCount val="10"/>
                <c:pt idx="0">
                  <c:v>1.4004941984885192E-4</c:v>
                </c:pt>
                <c:pt idx="1">
                  <c:v>8.2720251450294798E-5</c:v>
                </c:pt>
                <c:pt idx="2">
                  <c:v>2.420413187866902E-5</c:v>
                </c:pt>
                <c:pt idx="3">
                  <c:v>1.5612815249019001E-5</c:v>
                </c:pt>
                <c:pt idx="4">
                  <c:v>1.0721940122944151E-5</c:v>
                </c:pt>
                <c:pt idx="5">
                  <c:v>1.5302287410710859E-5</c:v>
                </c:pt>
                <c:pt idx="6">
                  <c:v>2.1008569680013889E-5</c:v>
                </c:pt>
                <c:pt idx="7">
                  <c:v>1.4008568806269984E-5</c:v>
                </c:pt>
                <c:pt idx="8">
                  <c:v>2.2817537115122664E-5</c:v>
                </c:pt>
                <c:pt idx="9">
                  <c:v>3.3355059586215704E-5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DE-43C4-805B-C629289C170F}"/>
            </c:ext>
          </c:extLst>
        </c:ser>
        <c:ser>
          <c:idx val="2"/>
          <c:order val="2"/>
          <c:tx>
            <c:strRef>
              <c:f>'overhead time stdev'!$D$1</c:f>
              <c:strCache>
                <c:ptCount val="1"/>
                <c:pt idx="0">
                  <c:v>SJF</c:v>
                </c:pt>
              </c:strCache>
            </c:strRef>
          </c:tx>
          <c:spPr>
            <a:solidFill>
              <a:schemeClr val="accent3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stdev'!$D$2:$D$11</c:f>
              <c:numCache>
                <c:formatCode>General</c:formatCode>
                <c:ptCount val="10"/>
                <c:pt idx="0">
                  <c:v>2.3617247934507529E-4</c:v>
                </c:pt>
                <c:pt idx="1">
                  <c:v>5.1414394871475435E-5</c:v>
                </c:pt>
                <c:pt idx="2">
                  <c:v>4.7486419111152168E-5</c:v>
                </c:pt>
                <c:pt idx="3">
                  <c:v>6.9872455230942038E-5</c:v>
                </c:pt>
                <c:pt idx="4">
                  <c:v>7.5331268408277864E-5</c:v>
                </c:pt>
                <c:pt idx="5">
                  <c:v>3.4794252398923606E-5</c:v>
                </c:pt>
                <c:pt idx="6">
                  <c:v>3.1173065296823186E-5</c:v>
                </c:pt>
                <c:pt idx="7">
                  <c:v>2.6290682760247977E-5</c:v>
                </c:pt>
                <c:pt idx="8">
                  <c:v>3.6930204440268182E-5</c:v>
                </c:pt>
                <c:pt idx="9">
                  <c:v>4.054922933916255E-5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4DE-43C4-805B-C629289C170F}"/>
            </c:ext>
          </c:extLst>
        </c:ser>
        <c:ser>
          <c:idx val="3"/>
          <c:order val="3"/>
          <c:tx>
            <c:strRef>
              <c:f>'overhead time stdev'!$E$1</c:f>
              <c:strCache>
                <c:ptCount val="1"/>
                <c:pt idx="0">
                  <c:v>LJF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stdev'!$E$2:$E$11</c:f>
              <c:numCache>
                <c:formatCode>General</c:formatCode>
                <c:ptCount val="10"/>
                <c:pt idx="0">
                  <c:v>6.6644129523912328E-5</c:v>
                </c:pt>
                <c:pt idx="1">
                  <c:v>2.1611570974827349E-4</c:v>
                </c:pt>
                <c:pt idx="2">
                  <c:v>7.7259044777941649E-5</c:v>
                </c:pt>
                <c:pt idx="3">
                  <c:v>8.1803178422357187E-5</c:v>
                </c:pt>
                <c:pt idx="4">
                  <c:v>5.1352117775219386E-5</c:v>
                </c:pt>
                <c:pt idx="5">
                  <c:v>1.8508376482014891E-5</c:v>
                </c:pt>
                <c:pt idx="6">
                  <c:v>3.6212704952820096E-5</c:v>
                </c:pt>
                <c:pt idx="7">
                  <c:v>6.8992753242641396E-6</c:v>
                </c:pt>
                <c:pt idx="8">
                  <c:v>3.0342050029620619E-5</c:v>
                </c:pt>
                <c:pt idx="9">
                  <c:v>3.8049441520211553E-5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4DE-43C4-805B-C629289C170F}"/>
            </c:ext>
          </c:extLst>
        </c:ser>
        <c:ser>
          <c:idx val="4"/>
          <c:order val="4"/>
          <c:tx>
            <c:strRef>
              <c:f>'overhead time stdev'!$F$1</c:f>
              <c:strCache>
                <c:ptCount val="1"/>
                <c:pt idx="0">
                  <c:v>RR</c:v>
                </c:pt>
              </c:strCache>
            </c:strRef>
          </c:tx>
          <c:spPr>
            <a:solidFill>
              <a:schemeClr val="accent3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stdev'!$F$2:$F$11</c:f>
              <c:numCache>
                <c:formatCode>General</c:formatCode>
                <c:ptCount val="10"/>
                <c:pt idx="0">
                  <c:v>6.1059315423610854E-5</c:v>
                </c:pt>
                <c:pt idx="1">
                  <c:v>8.723164563390973E-5</c:v>
                </c:pt>
                <c:pt idx="2">
                  <c:v>2.4342555330120974E-5</c:v>
                </c:pt>
                <c:pt idx="3">
                  <c:v>1.0947145746723225E-5</c:v>
                </c:pt>
                <c:pt idx="4">
                  <c:v>1.3130118049735907E-5</c:v>
                </c:pt>
                <c:pt idx="5">
                  <c:v>8.546344247688575E-6</c:v>
                </c:pt>
                <c:pt idx="6">
                  <c:v>7.6157731058639085E-6</c:v>
                </c:pt>
                <c:pt idx="7">
                  <c:v>1.2000000000000005E-5</c:v>
                </c:pt>
                <c:pt idx="8">
                  <c:v>1.2280065146407006E-5</c:v>
                </c:pt>
                <c:pt idx="9">
                  <c:v>1.2837445228704971E-5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4DE-43C4-805B-C629289C170F}"/>
            </c:ext>
          </c:extLst>
        </c:ser>
        <c:ser>
          <c:idx val="5"/>
          <c:order val="5"/>
          <c:tx>
            <c:strRef>
              <c:f>'overhead time stdev'!$G$1</c:f>
              <c:strCache>
                <c:ptCount val="1"/>
                <c:pt idx="0">
                  <c:v>LBW</c:v>
                </c:pt>
              </c:strCache>
            </c:strRef>
          </c:tx>
          <c:spPr>
            <a:solidFill>
              <a:schemeClr val="accent3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stdev'!$G$2:$G$11</c:f>
              <c:numCache>
                <c:formatCode>General</c:formatCode>
                <c:ptCount val="10"/>
                <c:pt idx="0">
                  <c:v>4.2412262377760516E-5</c:v>
                </c:pt>
                <c:pt idx="1">
                  <c:v>3.8548670534792775E-5</c:v>
                </c:pt>
                <c:pt idx="2">
                  <c:v>1.785945127936467E-5</c:v>
                </c:pt>
                <c:pt idx="3">
                  <c:v>2.6156452358834928E-5</c:v>
                </c:pt>
                <c:pt idx="4">
                  <c:v>2.2383922801868298E-5</c:v>
                </c:pt>
                <c:pt idx="5">
                  <c:v>1.5383107618423513E-5</c:v>
                </c:pt>
                <c:pt idx="6">
                  <c:v>7.4188947963965728E-6</c:v>
                </c:pt>
                <c:pt idx="7">
                  <c:v>1.7034083479894079E-5</c:v>
                </c:pt>
                <c:pt idx="8">
                  <c:v>1.8583863968507716E-5</c:v>
                </c:pt>
                <c:pt idx="9">
                  <c:v>2.8251725611013567E-5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4DE-43C4-805B-C629289C170F}"/>
            </c:ext>
          </c:extLst>
        </c:ser>
        <c:ser>
          <c:idx val="6"/>
          <c:order val="6"/>
          <c:tx>
            <c:strRef>
              <c:f>'overhead time stdev'!$H$1</c:f>
              <c:strCache>
                <c:ptCount val="1"/>
                <c:pt idx="0">
                  <c:v>WS</c:v>
                </c:pt>
              </c:strCache>
            </c:strRef>
          </c:tx>
          <c:spPr>
            <a:solidFill>
              <a:schemeClr val="accent3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numRef>
              <c:f>'overhead time stdev'!$A$2:$A$11</c:f>
              <c:numCache>
                <c:formatCode>General</c:formatCode>
                <c:ptCount val="10"/>
                <c:pt idx="0">
                  <c:v>0</c:v>
                </c:pt>
                <c:pt idx="1">
                  <c:v>0.01</c:v>
                </c:pt>
                <c:pt idx="2">
                  <c:v>1.7999999999999999E-2</c:v>
                </c:pt>
                <c:pt idx="3">
                  <c:v>3.1E-2</c:v>
                </c:pt>
                <c:pt idx="4">
                  <c:v>5.6000000000000001E-2</c:v>
                </c:pt>
                <c:pt idx="5">
                  <c:v>0.1</c:v>
                </c:pt>
                <c:pt idx="6">
                  <c:v>0.18</c:v>
                </c:pt>
                <c:pt idx="7">
                  <c:v>0.31</c:v>
                </c:pt>
                <c:pt idx="8">
                  <c:v>0.56000000000000005</c:v>
                </c:pt>
                <c:pt idx="9">
                  <c:v>1</c:v>
                </c:pt>
              </c:numCache>
            </c:numRef>
          </c:cat>
          <c:val>
            <c:numRef>
              <c:f>'overhead time stdev'!$H$2:$H$11</c:f>
              <c:numCache>
                <c:formatCode>General</c:formatCode>
                <c:ptCount val="10"/>
                <c:pt idx="0">
                  <c:v>9.7199999999999991E-5</c:v>
                </c:pt>
                <c:pt idx="1">
                  <c:v>4.2226058305269289E-5</c:v>
                </c:pt>
                <c:pt idx="2">
                  <c:v>2.7058455240460431E-5</c:v>
                </c:pt>
                <c:pt idx="3">
                  <c:v>1.498532615594339E-5</c:v>
                </c:pt>
                <c:pt idx="4">
                  <c:v>1.4945233353815541E-5</c:v>
                </c:pt>
                <c:pt idx="5">
                  <c:v>1.4352700094407332E-5</c:v>
                </c:pt>
                <c:pt idx="6">
                  <c:v>7.2111025509279733E-6</c:v>
                </c:pt>
                <c:pt idx="7">
                  <c:v>6.3874877690685201E-6</c:v>
                </c:pt>
                <c:pt idx="8">
                  <c:v>1.9276929216034402E-5</c:v>
                </c:pt>
                <c:pt idx="9">
                  <c:v>3.0113120064184643E-5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4DE-43C4-805B-C629289C1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63295487"/>
        <c:axId val="663293567"/>
      </c:barChart>
      <c:catAx>
        <c:axId val="663295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93567"/>
        <c:crosses val="autoZero"/>
        <c:auto val="1"/>
        <c:lblAlgn val="ctr"/>
        <c:lblOffset val="100"/>
        <c:noMultiLvlLbl val="0"/>
      </c:catAx>
      <c:valAx>
        <c:axId val="6632935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3295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9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152400</xdr:colOff>
      <xdr:row>0</xdr:row>
      <xdr:rowOff>0</xdr:rowOff>
    </xdr:from>
    <xdr:to>
      <xdr:col>19</xdr:col>
      <xdr:colOff>514350</xdr:colOff>
      <xdr:row>14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12EA5D-1B17-E59C-4605-FC3943365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38100</xdr:colOff>
      <xdr:row>8</xdr:row>
      <xdr:rowOff>133350</xdr:rowOff>
    </xdr:from>
    <xdr:to>
      <xdr:col>27</xdr:col>
      <xdr:colOff>400050</xdr:colOff>
      <xdr:row>23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580BDC3-0854-436E-9C37-A0B224EDA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12</xdr:col>
      <xdr:colOff>171450</xdr:colOff>
      <xdr:row>18</xdr:row>
      <xdr:rowOff>104775</xdr:rowOff>
    </xdr:from>
    <xdr:to>
      <xdr:col>19</xdr:col>
      <xdr:colOff>533400</xdr:colOff>
      <xdr:row>32</xdr:row>
      <xdr:rowOff>180975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D42B5C2-03D1-415C-B420-C4BE7D2647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95250</xdr:colOff>
      <xdr:row>28</xdr:row>
      <xdr:rowOff>161925</xdr:rowOff>
    </xdr:from>
    <xdr:to>
      <xdr:col>27</xdr:col>
      <xdr:colOff>457200</xdr:colOff>
      <xdr:row>43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15239837-962E-468A-9259-BF49A9C6EF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12</xdr:col>
      <xdr:colOff>142875</xdr:colOff>
      <xdr:row>39</xdr:row>
      <xdr:rowOff>19050</xdr:rowOff>
    </xdr:from>
    <xdr:to>
      <xdr:col>19</xdr:col>
      <xdr:colOff>504825</xdr:colOff>
      <xdr:row>53</xdr:row>
      <xdr:rowOff>95250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C37132F-C225-4A60-BD25-8D1960AA9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209550</xdr:colOff>
      <xdr:row>49</xdr:row>
      <xdr:rowOff>47625</xdr:rowOff>
    </xdr:from>
    <xdr:to>
      <xdr:col>27</xdr:col>
      <xdr:colOff>571500</xdr:colOff>
      <xdr:row>63</xdr:row>
      <xdr:rowOff>123825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0BB6D8A-7FED-4DB4-AB05-ADF0E0636FC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</xdr:col>
      <xdr:colOff>161925</xdr:colOff>
      <xdr:row>58</xdr:row>
      <xdr:rowOff>28575</xdr:rowOff>
    </xdr:from>
    <xdr:to>
      <xdr:col>19</xdr:col>
      <xdr:colOff>523875</xdr:colOff>
      <xdr:row>72</xdr:row>
      <xdr:rowOff>104775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3747B0D-BD70-4284-AD5C-0A655F0951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60460</xdr:rowOff>
    </xdr:from>
    <xdr:to>
      <xdr:col>8</xdr:col>
      <xdr:colOff>295275</xdr:colOff>
      <xdr:row>31</xdr:row>
      <xdr:rowOff>98560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9F11C1-1FAB-0FEC-FB76-704B749345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12</xdr:row>
      <xdr:rowOff>60460</xdr:rowOff>
    </xdr:from>
    <xdr:to>
      <xdr:col>8</xdr:col>
      <xdr:colOff>295275</xdr:colOff>
      <xdr:row>31</xdr:row>
      <xdr:rowOff>98560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4F52E9-7124-4BD1-A2AA-E4D484A49E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A5CF6C4-589D-4ECC-9BDC-72F46A10BAE4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443A40-C0FF-4837-AFC3-E7EE9326799D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dataBound="0" tableColumnId="9"/>
      <queryTableField id="10" dataBound="0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DD1DFB4-CE4A-4394-873E-A030F268DDCA}" name="wTask" displayName="wTask" ref="A1:J71" tableType="queryTable" totalsRowShown="0">
  <autoFilter ref="A1:J71" xr:uid="{2DD1DFB4-CE4A-4394-873E-A030F268DDCA}"/>
  <sortState xmlns:xlrd2="http://schemas.microsoft.com/office/spreadsheetml/2017/richdata2" ref="A2:J71">
    <sortCondition ref="A1:A71"/>
  </sortState>
  <tableColumns count="10">
    <tableColumn id="1" xr3:uid="{7358B912-890C-44ED-AB37-20FC38FA9EF4}" uniqueName="1" name="Heuristic" queryTableFieldId="1" dataDxfId="34"/>
    <tableColumn id="2" xr3:uid="{F70C4096-786D-4473-AB6A-B62F6885AAF1}" uniqueName="2" name="Variance" queryTableFieldId="2"/>
    <tableColumn id="3" xr3:uid="{DE0C3B8E-4882-4632-9B25-33BE505EC03A}" uniqueName="3" name="W0" queryTableFieldId="3" dataDxfId="33"/>
    <tableColumn id="4" xr3:uid="{5D90EAE0-8C49-43A5-A693-1C5CD95265AC}" uniqueName="4" name="W1" queryTableFieldId="4"/>
    <tableColumn id="5" xr3:uid="{A26414FD-B340-4034-A4D7-D5413E815685}" uniqueName="5" name="W2" queryTableFieldId="5"/>
    <tableColumn id="6" xr3:uid="{904C9A3E-F0A9-4FAE-B1C6-AC172C7EBA1A}" uniqueName="6" name="W3" queryTableFieldId="6"/>
    <tableColumn id="7" xr3:uid="{D33A4A07-0EFF-4383-87CF-FF97E29A2753}" uniqueName="7" name="W4" queryTableFieldId="7"/>
    <tableColumn id="8" xr3:uid="{4CFEC18F-0E5D-44F8-ADEA-BA485244F7E9}" uniqueName="8" name="W5" queryTableFieldId="8"/>
    <tableColumn id="9" xr3:uid="{C47577F8-E995-466C-BA74-D52220F1CCD8}" uniqueName="9" name="Average" queryTableFieldId="9" dataDxfId="5">
      <calculatedColumnFormula>AVERAGE(wTask[[#This Row],[W1]:[W5]])</calculatedColumnFormula>
    </tableColumn>
    <tableColumn id="10" xr3:uid="{92DA55B1-C330-4EF2-BEF4-770A59DD8794}" uniqueName="10" name="StDev" queryTableFieldId="10" dataDxfId="4">
      <calculatedColumnFormula>_xlfn.STDEV.P(wTask[[#This Row],[W1]:[W5]])</calculatedColumnFormula>
    </tableColumn>
  </tableColumns>
  <tableStyleInfo name="TableStyleLight1"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A5511A-E202-4FA3-866F-A9FCFF364B7E}" name="wOver" displayName="wOver" ref="A1:J71" tableType="queryTable" totalsRowShown="0">
  <autoFilter ref="A1:J71" xr:uid="{B0A5511A-E202-4FA3-866F-A9FCFF364B7E}"/>
  <sortState xmlns:xlrd2="http://schemas.microsoft.com/office/spreadsheetml/2017/richdata2" ref="A2:J71">
    <sortCondition ref="A1:A71"/>
  </sortState>
  <tableColumns count="10">
    <tableColumn id="1" xr3:uid="{02771580-7EA0-4FE5-A3C9-05F9BE649DCE}" uniqueName="1" name="Heuristic" queryTableFieldId="1" dataDxfId="32"/>
    <tableColumn id="2" xr3:uid="{4642747E-2D88-40E8-9207-0161ADCC9E95}" uniqueName="2" name="Variance" queryTableFieldId="2"/>
    <tableColumn id="3" xr3:uid="{23D78E8D-C775-4A45-A422-6C003A303F52}" uniqueName="3" name="W0" queryTableFieldId="3" dataDxfId="31"/>
    <tableColumn id="4" xr3:uid="{8182BDBA-CE08-4D03-B736-DA77AE3E9FB9}" uniqueName="4" name="W1" queryTableFieldId="4"/>
    <tableColumn id="5" xr3:uid="{66BFC83C-483B-489A-9350-32916A7F18F2}" uniqueName="5" name="W2" queryTableFieldId="5"/>
    <tableColumn id="6" xr3:uid="{44A5F2AC-8491-4EA9-998A-59DF233D5583}" uniqueName="6" name="W3" queryTableFieldId="6"/>
    <tableColumn id="7" xr3:uid="{4C7F0BB9-7223-4328-B78C-DDAAB17E9B35}" uniqueName="7" name="W4" queryTableFieldId="7"/>
    <tableColumn id="8" xr3:uid="{78B26738-E2FB-4E3B-A7EC-6FDCD4CCB5CC}" uniqueName="8" name="W5" queryTableFieldId="8"/>
    <tableColumn id="9" xr3:uid="{396002D6-76FF-44BB-AEA1-E7AE4A471534}" uniqueName="9" name="Mean" queryTableFieldId="9" dataDxfId="3">
      <calculatedColumnFormula>AVERAGE(wOver[[#This Row],[W1]:[W5]])</calculatedColumnFormula>
    </tableColumn>
    <tableColumn id="10" xr3:uid="{C9F0561A-2A8B-47DA-84F0-F07C075F2902}" uniqueName="10" name="StDev" queryTableFieldId="10" dataDxfId="2">
      <calculatedColumnFormula>_xlfn.STDEV.P(wOver[[#This Row],[W1]:[W5]])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DEFD0F-17CF-49D1-8F4C-C03909C3F069}" name="Table3" displayName="Table3" ref="A1:L71" totalsRowShown="0" dataDxfId="30">
  <autoFilter ref="A1:L71" xr:uid="{45DEFD0F-17CF-49D1-8F4C-C03909C3F069}"/>
  <sortState xmlns:xlrd2="http://schemas.microsoft.com/office/spreadsheetml/2017/richdata2" ref="A2:J71">
    <sortCondition ref="A1:A71"/>
  </sortState>
  <tableColumns count="12">
    <tableColumn id="1" xr3:uid="{0957F79D-3090-44E9-AF10-F909130060F7}" name="Heuristic" dataDxfId="29">
      <calculatedColumnFormula>wTask[[#This Row],[Heuristic]]</calculatedColumnFormula>
    </tableColumn>
    <tableColumn id="2" xr3:uid="{C2129DB1-99C7-4F80-B12A-12B4EDA0D924}" name="Variance" dataDxfId="28">
      <calculatedColumnFormula>wTask[[#This Row],[Variance]]</calculatedColumnFormula>
    </tableColumn>
    <tableColumn id="3" xr3:uid="{903068F3-0C6E-4FFB-A1E8-6C67A53200FD}" name="W0" dataDxfId="27">
      <calculatedColumnFormula>wOver[[#This Row],[W0]]/wTask[[#This Row],[W0]]</calculatedColumnFormula>
    </tableColumn>
    <tableColumn id="4" xr3:uid="{B2E581F6-6EF0-45EB-BE73-4AC028B18D32}" name="W1" dataDxfId="26">
      <calculatedColumnFormula>wOver[[#This Row],[W1]]/wTask[[#This Row],[W1]]</calculatedColumnFormula>
    </tableColumn>
    <tableColumn id="5" xr3:uid="{49A2B35D-6E6E-41A9-B93C-774EE5454555}" name="W2" dataDxfId="25">
      <calculatedColumnFormula>wOver[[#This Row],[W2]]/wTask[[#This Row],[W2]]</calculatedColumnFormula>
    </tableColumn>
    <tableColumn id="6" xr3:uid="{1AC9A973-349D-403A-9660-BF5344811E61}" name="W3" dataDxfId="24">
      <calculatedColumnFormula>wOver[[#This Row],[W3]]/wTask[[#This Row],[W3]]</calculatedColumnFormula>
    </tableColumn>
    <tableColumn id="7" xr3:uid="{284D2C6F-26AB-4E60-8BF3-14F59D6BC7E8}" name="W4" dataDxfId="23">
      <calculatedColumnFormula>wOver[[#This Row],[W4]]/wTask[[#This Row],[W4]]</calculatedColumnFormula>
    </tableColumn>
    <tableColumn id="8" xr3:uid="{3B474BC6-0F58-47ED-8A7B-47B01C068F02}" name="W5" dataDxfId="22">
      <calculatedColumnFormula>wOver[[#This Row],[W5]]/wTask[[#This Row],[W5]]</calculatedColumnFormula>
    </tableColumn>
    <tableColumn id="9" xr3:uid="{9A98C901-F930-4AA5-A41E-83DDB5B27C02}" name="Average" dataDxfId="1">
      <calculatedColumnFormula>AVERAGE(Table3[[#This Row],[W1]:[W5]])</calculatedColumnFormula>
    </tableColumn>
    <tableColumn id="10" xr3:uid="{EEE3AD9A-DDB8-4538-ADB3-BD7055EDD039}" name="StDev" dataDxfId="0">
      <calculatedColumnFormula>_xlfn.STDEV.P(Table3[[#This Row],[W1]:[W5]])</calculatedColumnFormula>
    </tableColumn>
    <tableColumn id="11" xr3:uid="{9DC31B20-A6C5-4CD5-BCC4-DDA620B8BC82}" name="AvT" dataDxfId="21">
      <calculatedColumnFormula>wTask[[#This Row],[Average]]</calculatedColumnFormula>
    </tableColumn>
    <tableColumn id="12" xr3:uid="{647694E1-BFB7-4DCE-A3D7-280552CD67C7}" name="AvO" dataDxfId="20">
      <calculatedColumnFormula>wOver[[#This Row],[Mean]]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1B3A658-3790-4E18-944C-16BEC4F8AAF2}" name="Table4" displayName="Table4" ref="A1:H11" totalsRowShown="0">
  <autoFilter ref="A1:H11" xr:uid="{51B3A658-3790-4E18-944C-16BEC4F8AAF2}"/>
  <tableColumns count="8">
    <tableColumn id="1" xr3:uid="{077013EE-F03C-4423-8F0D-8FBC89778B8B}" name="Heuristic"/>
    <tableColumn id="2" xr3:uid="{5A198941-BE55-4653-AD62-82FD876DED3E}" name="FCFS" dataDxfId="19">
      <calculatedColumnFormula array="1">IFERROR(INDEX(wTask[StDev], MATCH(1, (wTask[Heuristic]=Table4[[#Headers],[FCFS]]) * (wTask[Variance] = Table4[[#This Row],[Heuristic]]), 0)), "")</calculatedColumnFormula>
    </tableColumn>
    <tableColumn id="3" xr3:uid="{83C1124E-23AA-4FEE-9B79-7E3177344999}" name="LCFS" dataDxfId="18">
      <calculatedColumnFormula array="1">IFERROR(INDEX(wTask[StDev], MATCH(1, (wTask[Heuristic]=Table4[[#Headers],[LCFS]]) * (wTask[Variance] = Table4[[#This Row],[Heuristic]]), 0)), "")</calculatedColumnFormula>
    </tableColumn>
    <tableColumn id="4" xr3:uid="{88DF4CB7-FB46-4E4B-8FEC-3F6BCBEB7615}" name="SJF" dataDxfId="17">
      <calculatedColumnFormula array="1">IFERROR(INDEX(wTask[StDev], MATCH(1, (wTask[Heuristic]=Table4[[#Headers],[SJF]]) * (wTask[Variance] = Table4[[#This Row],[Heuristic]]), 0)), "")</calculatedColumnFormula>
    </tableColumn>
    <tableColumn id="12" xr3:uid="{82819D91-AA11-44ED-8646-9B42F8CB7DF1}" name="LJF" dataDxfId="16">
      <calculatedColumnFormula array="1">IFERROR(INDEX(wTask[StDev], MATCH(1, (wTask[Heuristic]=Table4[[#Headers],[LJF]]) * (wTask[Variance] = Table4[[#This Row],[Heuristic]]), 0)), "")</calculatedColumnFormula>
    </tableColumn>
    <tableColumn id="5" xr3:uid="{1DD603BB-3C52-4097-BF04-F84B2432CA87}" name="RR" dataDxfId="15">
      <calculatedColumnFormula array="1">IFERROR(INDEX(wTask[StDev], MATCH(1, (wTask[Heuristic]=Table4[[#Headers],[RR]]) * (wTask[Variance] = Table4[[#This Row],[Heuristic]]), 0)), "")</calculatedColumnFormula>
    </tableColumn>
    <tableColumn id="6" xr3:uid="{795907A7-04BD-4149-88B8-BE256D4FA25E}" name="LBW" dataDxfId="14">
      <calculatedColumnFormula array="1">IFERROR(INDEX(wTask[StDev], MATCH(1, (wTask[Heuristic]=Table4[[#Headers],[LBW]]) * (wTask[Variance] = Table4[[#This Row],[Heuristic]]), 0)), "")</calculatedColumnFormula>
    </tableColumn>
    <tableColumn id="7" xr3:uid="{1FFE8CF9-C1CB-47D0-A935-74445F1A02D6}" name="WS" dataDxfId="13">
      <calculatedColumnFormula array="1">IFERROR(INDEX(wTask[StDev], MATCH(1, (wTask[Heuristic]=Table4[[#Headers],[WS]]) * (wTask[Variance] = Table4[[#This Row],[Heuristic]]), 0)), "")</calculatedColumnFormula>
    </tableColumn>
  </tableColumns>
  <tableStyleInfo name="TableStyleLight1" showFirstColumn="1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26610A3-E337-45B6-9D76-6DF2DC222947}" name="Table46" displayName="Table46" ref="A1:H11" totalsRowShown="0">
  <autoFilter ref="A1:H11" xr:uid="{51B3A658-3790-4E18-944C-16BEC4F8AAF2}"/>
  <tableColumns count="8">
    <tableColumn id="1" xr3:uid="{0E47F9D8-4DAF-4DD5-B584-BC609EF0A015}" name="Heuristic"/>
    <tableColumn id="2" xr3:uid="{3D8F9303-73D0-41C8-8918-4B945B1CF41D}" name="FCFS" dataDxfId="12">
      <calculatedColumnFormula array="1">IFERROR(INDEX(wOver[StDev], MATCH(1, (wOver[Heuristic]=Table46[[#Headers],[FCFS]]) * (wOver[Variance] = Table46[[#This Row],[Heuristic]]), 0)), "")</calculatedColumnFormula>
    </tableColumn>
    <tableColumn id="3" xr3:uid="{8EB60407-ED27-477B-92BF-EDE92F0FDD14}" name="LCFS" dataDxfId="11">
      <calculatedColumnFormula array="1">IFERROR(INDEX(wOver[StDev], MATCH(1, (wOver[Heuristic]=Table46[[#Headers],[LCFS]]) * (wOver[Variance] = Table46[[#This Row],[Heuristic]]), 0)), "")</calculatedColumnFormula>
    </tableColumn>
    <tableColumn id="4" xr3:uid="{94E86728-B45A-4650-90A5-61A1C7189AF9}" name="SJF" dataDxfId="10">
      <calculatedColumnFormula array="1">IFERROR(INDEX(wOver[StDev], MATCH(1, (wOver[Heuristic]=Table46[[#Headers],[SJF]]) * (wOver[Variance] = Table46[[#This Row],[Heuristic]]), 0)), "")</calculatedColumnFormula>
    </tableColumn>
    <tableColumn id="12" xr3:uid="{BE364B7E-48DA-4AFC-AECB-34876FF3A06D}" name="LJF" dataDxfId="9">
      <calculatedColumnFormula array="1">IFERROR(INDEX(wOver[StDev], MATCH(1, (wOver[Heuristic]=Table46[[#Headers],[LJF]]) * (wOver[Variance] = Table46[[#This Row],[Heuristic]]), 0)), "")</calculatedColumnFormula>
    </tableColumn>
    <tableColumn id="5" xr3:uid="{9939A8CC-4C80-4233-A0C8-F1A930FD885A}" name="RR" dataDxfId="8">
      <calculatedColumnFormula array="1">IFERROR(INDEX(wOver[StDev], MATCH(1, (wOver[Heuristic]=Table46[[#Headers],[RR]]) * (wOver[Variance] = Table46[[#This Row],[Heuristic]]), 0)), "")</calculatedColumnFormula>
    </tableColumn>
    <tableColumn id="6" xr3:uid="{B6137FA0-2100-4CA4-BB9E-6C2458399947}" name="LBW" dataDxfId="7">
      <calculatedColumnFormula array="1">IFERROR(INDEX(wOver[StDev], MATCH(1, (wOver[Heuristic]=Table46[[#Headers],[LBW]]) * (wOver[Variance] = Table46[[#This Row],[Heuristic]]), 0)), "")</calculatedColumnFormula>
    </tableColumn>
    <tableColumn id="7" xr3:uid="{D86FCEC2-8DC9-4F4B-85E0-C8646DDB3944}" name="WS" dataDxfId="6">
      <calculatedColumnFormula array="1">IFERROR(INDEX(wOver[StDev], MATCH(1, (wOver[Heuristic]=Table46[[#Headers],[WS]]) * (wOver[Variance] = Table46[[#This Row],[Heuristic]]), 0)), "")</calculatedColumnFormula>
    </tableColumn>
  </tableColumns>
  <tableStyleInfo name="TableStyleLight1" showFirstColumn="1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Custom 1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747474"/>
      </a:accent1>
      <a:accent2>
        <a:srgbClr val="AEAEAE"/>
      </a:accent2>
      <a:accent3>
        <a:srgbClr val="D76DCC"/>
      </a:accent3>
      <a:accent4>
        <a:srgbClr val="4EA72E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9062E-6877-41C7-B9CF-730BB6A1BC4E}">
  <dimension ref="A1:J71"/>
  <sheetViews>
    <sheetView tabSelected="1" workbookViewId="0">
      <selection activeCell="L20" sqref="L20"/>
    </sheetView>
  </sheetViews>
  <sheetFormatPr baseColWidth="10" defaultColWidth="9.06640625" defaultRowHeight="14.25" x14ac:dyDescent="0.45"/>
  <cols>
    <col min="1" max="8" width="11.3984375" bestFit="1" customWidth="1"/>
  </cols>
  <sheetData>
    <row r="1" spans="1:10" x14ac:dyDescent="0.45">
      <c r="A1" t="s">
        <v>7</v>
      </c>
      <c r="B1" t="s">
        <v>8</v>
      </c>
      <c r="C1" t="s">
        <v>20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16</v>
      </c>
      <c r="J1" t="s">
        <v>15</v>
      </c>
    </row>
    <row r="2" spans="1:10" x14ac:dyDescent="0.45">
      <c r="A2" t="s">
        <v>0</v>
      </c>
      <c r="B2">
        <v>0</v>
      </c>
      <c r="C2" s="1">
        <v>382.53480000000002</v>
      </c>
      <c r="D2">
        <v>548.13971000000004</v>
      </c>
      <c r="E2">
        <v>548.129819</v>
      </c>
      <c r="F2">
        <v>548.16384100000005</v>
      </c>
      <c r="G2">
        <v>548.16026199999999</v>
      </c>
      <c r="H2">
        <v>548.15171199999997</v>
      </c>
      <c r="I2" s="1">
        <f>AVERAGE(wTask[[#This Row],[W1]:[W5]])</f>
        <v>548.14906880000001</v>
      </c>
      <c r="J2">
        <f>_xlfn.STDEV.P(wTask[[#This Row],[W1]:[W5]])</f>
        <v>1.2717185716977102E-2</v>
      </c>
    </row>
    <row r="3" spans="1:10" x14ac:dyDescent="0.45">
      <c r="A3" t="s">
        <v>0</v>
      </c>
      <c r="B3">
        <v>0.01</v>
      </c>
      <c r="C3" s="1">
        <v>383.03688399999999</v>
      </c>
      <c r="D3">
        <v>551.62966300000005</v>
      </c>
      <c r="E3">
        <v>551.99123399999996</v>
      </c>
      <c r="F3">
        <v>552.37308700000006</v>
      </c>
      <c r="G3">
        <v>551.80218100000002</v>
      </c>
      <c r="H3">
        <v>551.874773</v>
      </c>
      <c r="I3" s="1">
        <f>AVERAGE(wTask[[#This Row],[W1]:[W5]])</f>
        <v>551.93418760000009</v>
      </c>
      <c r="J3">
        <f>_xlfn.STDEV.P(wTask[[#This Row],[W1]:[W5]])</f>
        <v>0.24882847273381228</v>
      </c>
    </row>
    <row r="4" spans="1:10" x14ac:dyDescent="0.45">
      <c r="A4" t="s">
        <v>0</v>
      </c>
      <c r="B4">
        <v>1.7999999999999999E-2</v>
      </c>
      <c r="C4" s="1">
        <v>385.09184699999997</v>
      </c>
      <c r="D4">
        <v>550.61088400000006</v>
      </c>
      <c r="E4">
        <v>551.727937</v>
      </c>
      <c r="F4">
        <v>551.45312300000001</v>
      </c>
      <c r="G4">
        <v>551.64973799999996</v>
      </c>
      <c r="H4">
        <v>551.08159699999999</v>
      </c>
      <c r="I4" s="1">
        <f>AVERAGE(wTask[[#This Row],[W1]:[W5]])</f>
        <v>551.30465579999998</v>
      </c>
      <c r="J4">
        <f>_xlfn.STDEV.P(wTask[[#This Row],[W1]:[W5]])</f>
        <v>0.41264167197186896</v>
      </c>
    </row>
    <row r="5" spans="1:10" x14ac:dyDescent="0.45">
      <c r="A5" t="s">
        <v>0</v>
      </c>
      <c r="B5">
        <v>3.1E-2</v>
      </c>
      <c r="C5" s="1">
        <v>388.72333099999997</v>
      </c>
      <c r="D5">
        <v>551.33168899999998</v>
      </c>
      <c r="E5">
        <v>551.50716199999999</v>
      </c>
      <c r="F5">
        <v>551.53697499999998</v>
      </c>
      <c r="G5">
        <v>551.883736</v>
      </c>
      <c r="H5">
        <v>552.01434400000005</v>
      </c>
      <c r="I5" s="1">
        <f>AVERAGE(wTask[[#This Row],[W1]:[W5]])</f>
        <v>551.65478120000012</v>
      </c>
      <c r="J5">
        <f>_xlfn.STDEV.P(wTask[[#This Row],[W1]:[W5]])</f>
        <v>0.25367853920063982</v>
      </c>
    </row>
    <row r="6" spans="1:10" x14ac:dyDescent="0.45">
      <c r="A6" t="s">
        <v>0</v>
      </c>
      <c r="B6">
        <v>5.6000000000000001E-2</v>
      </c>
      <c r="C6" s="1">
        <v>391.64907299999999</v>
      </c>
      <c r="D6">
        <v>551.08017700000005</v>
      </c>
      <c r="E6">
        <v>551.57053399999995</v>
      </c>
      <c r="F6">
        <v>551.26480500000002</v>
      </c>
      <c r="G6">
        <v>550.95023300000003</v>
      </c>
      <c r="H6">
        <v>550.67340200000001</v>
      </c>
      <c r="I6" s="1">
        <f>AVERAGE(wTask[[#This Row],[W1]:[W5]])</f>
        <v>551.10783019999997</v>
      </c>
      <c r="J6">
        <f>_xlfn.STDEV.P(wTask[[#This Row],[W1]:[W5]])</f>
        <v>0.30102004326713661</v>
      </c>
    </row>
    <row r="7" spans="1:10" x14ac:dyDescent="0.45">
      <c r="A7" t="s">
        <v>0</v>
      </c>
      <c r="B7">
        <v>0.1</v>
      </c>
      <c r="C7" s="1">
        <v>390.75335699999999</v>
      </c>
      <c r="D7">
        <v>555.48509100000001</v>
      </c>
      <c r="E7">
        <v>555.58940299999995</v>
      </c>
      <c r="F7">
        <v>555.65355199999999</v>
      </c>
      <c r="G7">
        <v>555.57265900000004</v>
      </c>
      <c r="H7">
        <v>555.82055400000002</v>
      </c>
      <c r="I7" s="1">
        <f>AVERAGE(wTask[[#This Row],[W1]:[W5]])</f>
        <v>555.62425180000002</v>
      </c>
      <c r="J7">
        <f>_xlfn.STDEV.P(wTask[[#This Row],[W1]:[W5]])</f>
        <v>0.11192411677096363</v>
      </c>
    </row>
    <row r="8" spans="1:10" x14ac:dyDescent="0.45">
      <c r="A8" t="s">
        <v>0</v>
      </c>
      <c r="B8">
        <v>0.18</v>
      </c>
      <c r="C8" s="1">
        <v>389.86841900000002</v>
      </c>
      <c r="D8">
        <v>554.70346900000004</v>
      </c>
      <c r="E8">
        <v>555.31566799999996</v>
      </c>
      <c r="F8">
        <v>554.63625200000001</v>
      </c>
      <c r="G8">
        <v>556.28015800000003</v>
      </c>
      <c r="H8">
        <v>556.25789299999997</v>
      </c>
      <c r="I8" s="1">
        <f>AVERAGE(wTask[[#This Row],[W1]:[W5]])</f>
        <v>555.43868799999996</v>
      </c>
      <c r="J8">
        <f>_xlfn.STDEV.P(wTask[[#This Row],[W1]:[W5]])</f>
        <v>0.71815778564072152</v>
      </c>
    </row>
    <row r="9" spans="1:10" x14ac:dyDescent="0.45">
      <c r="A9" t="s">
        <v>0</v>
      </c>
      <c r="B9">
        <v>0.31</v>
      </c>
      <c r="C9" s="1">
        <v>391.95405299999999</v>
      </c>
      <c r="D9">
        <v>571.35429799999997</v>
      </c>
      <c r="E9">
        <v>572.18383300000005</v>
      </c>
      <c r="F9">
        <v>572.07917399999997</v>
      </c>
      <c r="G9">
        <v>572.39013</v>
      </c>
      <c r="H9">
        <v>572.694614</v>
      </c>
      <c r="I9" s="1">
        <f>AVERAGE(wTask[[#This Row],[W1]:[W5]])</f>
        <v>572.14040980000004</v>
      </c>
      <c r="J9">
        <f>_xlfn.STDEV.P(wTask[[#This Row],[W1]:[W5]])</f>
        <v>0.44567019940419045</v>
      </c>
    </row>
    <row r="10" spans="1:10" x14ac:dyDescent="0.45">
      <c r="A10" t="s">
        <v>0</v>
      </c>
      <c r="B10">
        <v>0.56000000000000005</v>
      </c>
      <c r="C10" s="1">
        <v>389.50843800000001</v>
      </c>
      <c r="D10">
        <v>597.601629</v>
      </c>
      <c r="E10">
        <v>597.98593500000004</v>
      </c>
      <c r="F10">
        <v>597.89290600000004</v>
      </c>
      <c r="G10">
        <v>597.56833300000005</v>
      </c>
      <c r="H10">
        <v>597.29652399999998</v>
      </c>
      <c r="I10" s="1">
        <f>AVERAGE(wTask[[#This Row],[W1]:[W5]])</f>
        <v>597.66906540000002</v>
      </c>
      <c r="J10">
        <f>_xlfn.STDEV.P(wTask[[#This Row],[W1]:[W5]])</f>
        <v>0.2465736144769953</v>
      </c>
    </row>
    <row r="11" spans="1:10" x14ac:dyDescent="0.45">
      <c r="A11" t="s">
        <v>0</v>
      </c>
      <c r="B11">
        <v>1</v>
      </c>
      <c r="C11" s="1">
        <v>388.84644900000001</v>
      </c>
      <c r="D11">
        <v>606.22457399999996</v>
      </c>
      <c r="E11">
        <v>606.93782799999997</v>
      </c>
      <c r="F11">
        <v>606.72177799999997</v>
      </c>
      <c r="G11">
        <v>607.01882799999998</v>
      </c>
      <c r="H11">
        <v>604.63571899999999</v>
      </c>
      <c r="I11" s="1">
        <f>AVERAGE(wTask[[#This Row],[W1]:[W5]])</f>
        <v>606.30774540000004</v>
      </c>
      <c r="J11">
        <f>_xlfn.STDEV.P(wTask[[#This Row],[W1]:[W5]])</f>
        <v>0.88052885299496453</v>
      </c>
    </row>
    <row r="12" spans="1:10" x14ac:dyDescent="0.45">
      <c r="A12" s="3" t="s">
        <v>1</v>
      </c>
      <c r="B12" s="3">
        <v>0</v>
      </c>
      <c r="C12" s="4">
        <v>383.71706999999998</v>
      </c>
      <c r="D12" s="3">
        <v>549.41809599999999</v>
      </c>
      <c r="E12" s="3">
        <v>549.41426999999999</v>
      </c>
      <c r="F12" s="3">
        <v>548.39980200000002</v>
      </c>
      <c r="G12" s="3">
        <v>549.36097700000005</v>
      </c>
      <c r="H12" s="3">
        <v>549.47571200000004</v>
      </c>
      <c r="I12" s="4">
        <f>AVERAGE(wTask[[#This Row],[W1]:[W5]])</f>
        <v>549.21377139999993</v>
      </c>
      <c r="J12" s="3">
        <f>_xlfn.STDEV.P(wTask[[#This Row],[W1]:[W5]])</f>
        <v>0.40860170863646478</v>
      </c>
    </row>
    <row r="13" spans="1:10" x14ac:dyDescent="0.45">
      <c r="A13" t="s">
        <v>1</v>
      </c>
      <c r="B13">
        <v>0.01</v>
      </c>
      <c r="C13" s="1">
        <v>383.84144400000002</v>
      </c>
      <c r="D13">
        <v>551.08600999999999</v>
      </c>
      <c r="E13">
        <v>551.00690299999997</v>
      </c>
      <c r="F13">
        <v>550.34037799999999</v>
      </c>
      <c r="G13">
        <v>551.19881299999997</v>
      </c>
      <c r="H13">
        <v>551.28741200000002</v>
      </c>
      <c r="I13" s="1">
        <f>AVERAGE(wTask[[#This Row],[W1]:[W5]])</f>
        <v>550.98390319999999</v>
      </c>
      <c r="J13">
        <f>_xlfn.STDEV.P(wTask[[#This Row],[W1]:[W5]])</f>
        <v>0.33567343840548708</v>
      </c>
    </row>
    <row r="14" spans="1:10" x14ac:dyDescent="0.45">
      <c r="A14" t="s">
        <v>1</v>
      </c>
      <c r="B14">
        <v>1.7999999999999999E-2</v>
      </c>
      <c r="C14" s="1">
        <v>385.63583299999999</v>
      </c>
      <c r="D14">
        <v>551.42543699999999</v>
      </c>
      <c r="E14">
        <v>550.59037599999999</v>
      </c>
      <c r="F14">
        <v>551.14982199999997</v>
      </c>
      <c r="G14">
        <v>550.70447899999999</v>
      </c>
      <c r="H14">
        <v>551.47563100000002</v>
      </c>
      <c r="I14" s="1">
        <f>AVERAGE(wTask[[#This Row],[W1]:[W5]])</f>
        <v>551.06914899999992</v>
      </c>
      <c r="J14">
        <f>_xlfn.STDEV.P(wTask[[#This Row],[W1]:[W5]])</f>
        <v>0.36356146182620003</v>
      </c>
    </row>
    <row r="15" spans="1:10" x14ac:dyDescent="0.45">
      <c r="A15" t="s">
        <v>1</v>
      </c>
      <c r="B15">
        <v>3.1E-2</v>
      </c>
      <c r="C15" s="1">
        <v>389.33185099999997</v>
      </c>
      <c r="D15">
        <v>550.45903099999998</v>
      </c>
      <c r="E15">
        <v>550.95382600000005</v>
      </c>
      <c r="F15">
        <v>551.42360299999996</v>
      </c>
      <c r="G15">
        <v>551.33745399999998</v>
      </c>
      <c r="H15">
        <v>551.37725399999999</v>
      </c>
      <c r="I15" s="1">
        <f>AVERAGE(wTask[[#This Row],[W1]:[W5]])</f>
        <v>551.11023360000002</v>
      </c>
      <c r="J15">
        <f>_xlfn.STDEV.P(wTask[[#This Row],[W1]:[W5]])</f>
        <v>0.36596654181309224</v>
      </c>
    </row>
    <row r="16" spans="1:10" x14ac:dyDescent="0.45">
      <c r="A16" t="s">
        <v>1</v>
      </c>
      <c r="B16">
        <v>5.6000000000000001E-2</v>
      </c>
      <c r="C16" s="1">
        <v>392.54</v>
      </c>
      <c r="D16">
        <v>551.69576600000005</v>
      </c>
      <c r="E16">
        <v>551.26020400000004</v>
      </c>
      <c r="F16">
        <v>551.75454100000002</v>
      </c>
      <c r="G16">
        <v>550.87508000000003</v>
      </c>
      <c r="H16">
        <v>550.767743</v>
      </c>
      <c r="I16" s="1">
        <f>AVERAGE(wTask[[#This Row],[W1]:[W5]])</f>
        <v>551.27066679999996</v>
      </c>
      <c r="J16">
        <f>_xlfn.STDEV.P(wTask[[#This Row],[W1]:[W5]])</f>
        <v>0.40604785589652892</v>
      </c>
    </row>
    <row r="17" spans="1:10" x14ac:dyDescent="0.45">
      <c r="A17" t="s">
        <v>1</v>
      </c>
      <c r="B17">
        <v>0.1</v>
      </c>
      <c r="C17" s="1">
        <v>391.76755800000001</v>
      </c>
      <c r="D17">
        <v>554.01818900000001</v>
      </c>
      <c r="E17">
        <v>555.02857100000006</v>
      </c>
      <c r="F17">
        <v>555.15042100000005</v>
      </c>
      <c r="G17">
        <v>554.63861399999996</v>
      </c>
      <c r="H17">
        <v>555.13419199999998</v>
      </c>
      <c r="I17" s="1">
        <f>AVERAGE(wTask[[#This Row],[W1]:[W5]])</f>
        <v>554.79399739999997</v>
      </c>
      <c r="J17">
        <f>_xlfn.STDEV.P(wTask[[#This Row],[W1]:[W5]])</f>
        <v>0.42984127229228558</v>
      </c>
    </row>
    <row r="18" spans="1:10" x14ac:dyDescent="0.45">
      <c r="A18" t="s">
        <v>1</v>
      </c>
      <c r="B18">
        <v>0.18</v>
      </c>
      <c r="C18" s="1">
        <v>388.82926800000001</v>
      </c>
      <c r="D18">
        <v>552.05423299999995</v>
      </c>
      <c r="E18">
        <v>551.882341</v>
      </c>
      <c r="F18">
        <v>552.26437999999996</v>
      </c>
      <c r="G18">
        <v>551.87964699999998</v>
      </c>
      <c r="H18">
        <v>551.95398999999998</v>
      </c>
      <c r="I18" s="1">
        <f>AVERAGE(wTask[[#This Row],[W1]:[W5]])</f>
        <v>552.00691819999997</v>
      </c>
      <c r="J18">
        <f>_xlfn.STDEV.P(wTask[[#This Row],[W1]:[W5]])</f>
        <v>0.14355772373702799</v>
      </c>
    </row>
    <row r="19" spans="1:10" x14ac:dyDescent="0.45">
      <c r="A19" t="s">
        <v>1</v>
      </c>
      <c r="B19">
        <v>0.31</v>
      </c>
      <c r="C19" s="1">
        <v>392.33449300000001</v>
      </c>
      <c r="D19">
        <v>570.33110799999997</v>
      </c>
      <c r="E19">
        <v>570.37237200000004</v>
      </c>
      <c r="F19">
        <v>570.52978800000005</v>
      </c>
      <c r="G19">
        <v>569.745273</v>
      </c>
      <c r="H19">
        <v>570.60660700000005</v>
      </c>
      <c r="I19" s="1">
        <f>AVERAGE(wTask[[#This Row],[W1]:[W5]])</f>
        <v>570.31702960000007</v>
      </c>
      <c r="J19">
        <f>_xlfn.STDEV.P(wTask[[#This Row],[W1]:[W5]])</f>
        <v>0.30308012128454104</v>
      </c>
    </row>
    <row r="20" spans="1:10" x14ac:dyDescent="0.45">
      <c r="A20" t="s">
        <v>1</v>
      </c>
      <c r="B20">
        <v>0.56000000000000005</v>
      </c>
      <c r="C20" s="1">
        <v>389.975323</v>
      </c>
      <c r="D20">
        <v>595.39795600000002</v>
      </c>
      <c r="E20">
        <v>595.63724400000001</v>
      </c>
      <c r="F20">
        <v>594.84154999999998</v>
      </c>
      <c r="G20">
        <v>594.85679400000004</v>
      </c>
      <c r="H20">
        <v>595.88420699999995</v>
      </c>
      <c r="I20" s="1">
        <f>AVERAGE(wTask[[#This Row],[W1]:[W5]])</f>
        <v>595.3235502</v>
      </c>
      <c r="J20">
        <f>_xlfn.STDEV.P(wTask[[#This Row],[W1]:[W5]])</f>
        <v>0.41676410921688817</v>
      </c>
    </row>
    <row r="21" spans="1:10" x14ac:dyDescent="0.45">
      <c r="A21" t="s">
        <v>1</v>
      </c>
      <c r="B21">
        <v>1</v>
      </c>
      <c r="C21" s="1">
        <v>389.73154799999998</v>
      </c>
      <c r="D21">
        <v>602.73862399999996</v>
      </c>
      <c r="E21">
        <v>604.35979999999995</v>
      </c>
      <c r="F21">
        <v>605.00488600000006</v>
      </c>
      <c r="G21">
        <v>604.86134700000002</v>
      </c>
      <c r="H21">
        <v>605.77436999999998</v>
      </c>
      <c r="I21" s="1">
        <f>AVERAGE(wTask[[#This Row],[W1]:[W5]])</f>
        <v>604.54780540000002</v>
      </c>
      <c r="J21">
        <f>_xlfn.STDEV.P(wTask[[#This Row],[W1]:[W5]])</f>
        <v>1.0119461543318771</v>
      </c>
    </row>
    <row r="22" spans="1:10" x14ac:dyDescent="0.45">
      <c r="A22" s="3" t="s">
        <v>2</v>
      </c>
      <c r="B22" s="3">
        <v>0</v>
      </c>
      <c r="C22" s="4">
        <v>384.05743100000001</v>
      </c>
      <c r="D22" s="3">
        <v>548.24560099999997</v>
      </c>
      <c r="E22" s="3">
        <v>548.25124100000005</v>
      </c>
      <c r="F22" s="3">
        <v>549.34172599999999</v>
      </c>
      <c r="G22" s="3">
        <v>548.31103099999996</v>
      </c>
      <c r="H22" s="3">
        <v>549.36686199999997</v>
      </c>
      <c r="I22" s="4">
        <f>AVERAGE(wTask[[#This Row],[W1]:[W5]])</f>
        <v>548.70329220000008</v>
      </c>
      <c r="J22" s="3">
        <f>_xlfn.STDEV.P(wTask[[#This Row],[W1]:[W5]])</f>
        <v>0.53209453435621235</v>
      </c>
    </row>
    <row r="23" spans="1:10" x14ac:dyDescent="0.45">
      <c r="A23" t="s">
        <v>2</v>
      </c>
      <c r="B23">
        <v>0.01</v>
      </c>
      <c r="C23" s="1">
        <v>383.187746</v>
      </c>
      <c r="D23">
        <v>550.82807000000003</v>
      </c>
      <c r="E23">
        <v>551.28962000000001</v>
      </c>
      <c r="F23">
        <v>551.07034099999998</v>
      </c>
      <c r="G23">
        <v>551.62210700000003</v>
      </c>
      <c r="H23">
        <v>551.80087100000003</v>
      </c>
      <c r="I23" s="1">
        <f>AVERAGE(wTask[[#This Row],[W1]:[W5]])</f>
        <v>551.32220180000002</v>
      </c>
      <c r="J23">
        <f>_xlfn.STDEV.P(wTask[[#This Row],[W1]:[W5]])</f>
        <v>0.35432442875275383</v>
      </c>
    </row>
    <row r="24" spans="1:10" x14ac:dyDescent="0.45">
      <c r="A24" t="s">
        <v>2</v>
      </c>
      <c r="B24">
        <v>1.7999999999999999E-2</v>
      </c>
      <c r="C24" s="1">
        <v>385.37005299999998</v>
      </c>
      <c r="D24">
        <v>550.42466300000001</v>
      </c>
      <c r="E24">
        <v>551.22500400000001</v>
      </c>
      <c r="F24">
        <v>550.76350500000001</v>
      </c>
      <c r="G24">
        <v>551.86830299999997</v>
      </c>
      <c r="H24">
        <v>551.07902100000001</v>
      </c>
      <c r="I24" s="1">
        <f>AVERAGE(wTask[[#This Row],[W1]:[W5]])</f>
        <v>551.07209919999991</v>
      </c>
      <c r="J24">
        <f>_xlfn.STDEV.P(wTask[[#This Row],[W1]:[W5]])</f>
        <v>0.48410170288003251</v>
      </c>
    </row>
    <row r="25" spans="1:10" x14ac:dyDescent="0.45">
      <c r="A25" t="s">
        <v>2</v>
      </c>
      <c r="B25">
        <v>3.1E-2</v>
      </c>
      <c r="C25" s="1">
        <v>389.98057799999998</v>
      </c>
      <c r="D25">
        <v>550.29319299999997</v>
      </c>
      <c r="E25">
        <v>549.72432200000003</v>
      </c>
      <c r="F25">
        <v>550.06196399999999</v>
      </c>
      <c r="G25">
        <v>549.83594700000003</v>
      </c>
      <c r="H25">
        <v>549.191599</v>
      </c>
      <c r="I25" s="1">
        <f>AVERAGE(wTask[[#This Row],[W1]:[W5]])</f>
        <v>549.82140500000003</v>
      </c>
      <c r="J25">
        <f>_xlfn.STDEV.P(wTask[[#This Row],[W1]:[W5]])</f>
        <v>0.3706061860557564</v>
      </c>
    </row>
    <row r="26" spans="1:10" x14ac:dyDescent="0.45">
      <c r="A26" t="s">
        <v>2</v>
      </c>
      <c r="B26">
        <v>5.6000000000000001E-2</v>
      </c>
      <c r="C26" s="1">
        <v>392.75573900000001</v>
      </c>
      <c r="D26">
        <v>550.58382700000004</v>
      </c>
      <c r="E26">
        <v>551.23421099999996</v>
      </c>
      <c r="F26">
        <v>551.21394899999996</v>
      </c>
      <c r="G26">
        <v>550.955061</v>
      </c>
      <c r="H26">
        <v>550.47442799999999</v>
      </c>
      <c r="I26" s="1">
        <f>AVERAGE(wTask[[#This Row],[W1]:[W5]])</f>
        <v>550.89229520000004</v>
      </c>
      <c r="J26">
        <f>_xlfn.STDEV.P(wTask[[#This Row],[W1]:[W5]])</f>
        <v>0.31434781826528646</v>
      </c>
    </row>
    <row r="27" spans="1:10" x14ac:dyDescent="0.45">
      <c r="A27" t="s">
        <v>2</v>
      </c>
      <c r="B27">
        <v>0.1</v>
      </c>
      <c r="C27" s="1">
        <v>392.24669399999999</v>
      </c>
      <c r="D27">
        <v>553.00624800000003</v>
      </c>
      <c r="E27">
        <v>553.41121299999998</v>
      </c>
      <c r="F27">
        <v>554.20684400000005</v>
      </c>
      <c r="G27">
        <v>553.16139599999997</v>
      </c>
      <c r="H27">
        <v>553.80776400000002</v>
      </c>
      <c r="I27" s="1">
        <f>AVERAGE(wTask[[#This Row],[W1]:[W5]])</f>
        <v>553.51869299999998</v>
      </c>
      <c r="J27">
        <f>_xlfn.STDEV.P(wTask[[#This Row],[W1]:[W5]])</f>
        <v>0.43793305800683174</v>
      </c>
    </row>
    <row r="28" spans="1:10" x14ac:dyDescent="0.45">
      <c r="A28" t="s">
        <v>2</v>
      </c>
      <c r="B28">
        <v>0.18</v>
      </c>
      <c r="C28" s="1">
        <v>391.15215699999999</v>
      </c>
      <c r="D28">
        <v>554.11232199999995</v>
      </c>
      <c r="E28">
        <v>555.110187</v>
      </c>
      <c r="F28">
        <v>554.29422</v>
      </c>
      <c r="G28">
        <v>554.81907699999999</v>
      </c>
      <c r="H28">
        <v>553.66900699999997</v>
      </c>
      <c r="I28" s="1">
        <f>AVERAGE(wTask[[#This Row],[W1]:[W5]])</f>
        <v>554.40096259999996</v>
      </c>
      <c r="J28">
        <f>_xlfn.STDEV.P(wTask[[#This Row],[W1]:[W5]])</f>
        <v>0.51152424772189842</v>
      </c>
    </row>
    <row r="29" spans="1:10" x14ac:dyDescent="0.45">
      <c r="A29" t="s">
        <v>2</v>
      </c>
      <c r="B29">
        <v>0.31</v>
      </c>
      <c r="C29" s="1">
        <v>393.019476</v>
      </c>
      <c r="D29">
        <v>568.59606499999995</v>
      </c>
      <c r="E29">
        <v>570.17445099999998</v>
      </c>
      <c r="F29">
        <v>569.26751999999999</v>
      </c>
      <c r="G29">
        <v>571.87749899999994</v>
      </c>
      <c r="H29">
        <v>570.197766</v>
      </c>
      <c r="I29" s="1">
        <f>AVERAGE(wTask[[#This Row],[W1]:[W5]])</f>
        <v>570.02266020000002</v>
      </c>
      <c r="J29">
        <f>_xlfn.STDEV.P(wTask[[#This Row],[W1]:[W5]])</f>
        <v>1.104494458878154</v>
      </c>
    </row>
    <row r="30" spans="1:10" x14ac:dyDescent="0.45">
      <c r="A30" t="s">
        <v>2</v>
      </c>
      <c r="B30">
        <v>0.56000000000000005</v>
      </c>
      <c r="C30" s="1">
        <v>391.53429999999997</v>
      </c>
      <c r="D30">
        <v>593.59699699999999</v>
      </c>
      <c r="E30">
        <v>592.67692799999998</v>
      </c>
      <c r="F30">
        <v>596.20338800000002</v>
      </c>
      <c r="G30">
        <v>593.07176800000002</v>
      </c>
      <c r="H30">
        <v>594.56901200000004</v>
      </c>
      <c r="I30" s="1">
        <f>AVERAGE(wTask[[#This Row],[W1]:[W5]])</f>
        <v>594.02361859999996</v>
      </c>
      <c r="J30">
        <f>_xlfn.STDEV.P(wTask[[#This Row],[W1]:[W5]])</f>
        <v>1.2609876862503746</v>
      </c>
    </row>
    <row r="31" spans="1:10" x14ac:dyDescent="0.45">
      <c r="A31" t="s">
        <v>2</v>
      </c>
      <c r="B31">
        <v>1</v>
      </c>
      <c r="C31" s="1">
        <v>389.82923799999998</v>
      </c>
      <c r="D31">
        <v>603.809617</v>
      </c>
      <c r="E31">
        <v>605.60849900000005</v>
      </c>
      <c r="F31">
        <v>605.01047200000005</v>
      </c>
      <c r="G31">
        <v>605.81742699999995</v>
      </c>
      <c r="H31">
        <v>603.861221</v>
      </c>
      <c r="I31" s="1">
        <f>AVERAGE(wTask[[#This Row],[W1]:[W5]])</f>
        <v>604.82144720000008</v>
      </c>
      <c r="J31">
        <f>_xlfn.STDEV.P(wTask[[#This Row],[W1]:[W5]])</f>
        <v>0.84770176143556508</v>
      </c>
    </row>
    <row r="32" spans="1:10" x14ac:dyDescent="0.45">
      <c r="A32" s="3" t="s">
        <v>3</v>
      </c>
      <c r="B32" s="3">
        <v>0</v>
      </c>
      <c r="C32" s="4">
        <v>383.440135</v>
      </c>
      <c r="D32" s="3">
        <v>548.25277500000004</v>
      </c>
      <c r="E32" s="3">
        <v>548.32264399999997</v>
      </c>
      <c r="F32" s="3">
        <v>549.36813700000005</v>
      </c>
      <c r="G32" s="3">
        <v>548.35994400000004</v>
      </c>
      <c r="H32" s="3">
        <v>549.35327500000005</v>
      </c>
      <c r="I32" s="4">
        <f>AVERAGE(wTask[[#This Row],[W1]:[W5]])</f>
        <v>548.73135500000001</v>
      </c>
      <c r="J32" s="3">
        <f>_xlfn.STDEV.P(wTask[[#This Row],[W1]:[W5]])</f>
        <v>0.51503503390858385</v>
      </c>
    </row>
    <row r="33" spans="1:10" x14ac:dyDescent="0.45">
      <c r="A33" t="s">
        <v>3</v>
      </c>
      <c r="B33">
        <v>0.01</v>
      </c>
      <c r="C33" s="1">
        <v>383.057096</v>
      </c>
      <c r="D33">
        <v>551.67650000000003</v>
      </c>
      <c r="E33">
        <v>551.769544</v>
      </c>
      <c r="F33">
        <v>551.77858600000002</v>
      </c>
      <c r="G33">
        <v>551.76632900000004</v>
      </c>
      <c r="H33">
        <v>550.79155800000001</v>
      </c>
      <c r="I33" s="1">
        <f>AVERAGE(wTask[[#This Row],[W1]:[W5]])</f>
        <v>551.5565034</v>
      </c>
      <c r="J33">
        <f>_xlfn.STDEV.P(wTask[[#This Row],[W1]:[W5]])</f>
        <v>0.38425887364619649</v>
      </c>
    </row>
    <row r="34" spans="1:10" x14ac:dyDescent="0.45">
      <c r="A34" t="s">
        <v>3</v>
      </c>
      <c r="B34">
        <v>1.7999999999999999E-2</v>
      </c>
      <c r="C34" s="1">
        <v>385.10717499999998</v>
      </c>
      <c r="D34">
        <v>551.73160900000005</v>
      </c>
      <c r="E34">
        <v>550.78074100000003</v>
      </c>
      <c r="F34">
        <v>551.74423200000001</v>
      </c>
      <c r="G34">
        <v>551.73545200000001</v>
      </c>
      <c r="H34">
        <v>551.77409799999998</v>
      </c>
      <c r="I34" s="1">
        <f>AVERAGE(wTask[[#This Row],[W1]:[W5]])</f>
        <v>551.55322639999997</v>
      </c>
      <c r="J34">
        <f>_xlfn.STDEV.P(wTask[[#This Row],[W1]:[W5]])</f>
        <v>0.38653010682459471</v>
      </c>
    </row>
    <row r="35" spans="1:10" x14ac:dyDescent="0.45">
      <c r="A35" t="s">
        <v>3</v>
      </c>
      <c r="B35">
        <v>3.1E-2</v>
      </c>
      <c r="C35" s="1">
        <v>389.59553399999999</v>
      </c>
      <c r="D35">
        <v>552.50793199999998</v>
      </c>
      <c r="E35">
        <v>551.96569</v>
      </c>
      <c r="F35">
        <v>552.52691400000003</v>
      </c>
      <c r="G35">
        <v>552.66165899999999</v>
      </c>
      <c r="H35">
        <v>552.65343299999995</v>
      </c>
      <c r="I35" s="1">
        <f>AVERAGE(wTask[[#This Row],[W1]:[W5]])</f>
        <v>552.46312560000001</v>
      </c>
      <c r="J35">
        <f>_xlfn.STDEV.P(wTask[[#This Row],[W1]:[W5]])</f>
        <v>0.25657403103711918</v>
      </c>
    </row>
    <row r="36" spans="1:10" x14ac:dyDescent="0.45">
      <c r="A36" t="s">
        <v>3</v>
      </c>
      <c r="B36">
        <v>5.6000000000000001E-2</v>
      </c>
      <c r="C36" s="1">
        <v>393.21651900000001</v>
      </c>
      <c r="D36">
        <v>550.83346200000005</v>
      </c>
      <c r="E36">
        <v>550.76031</v>
      </c>
      <c r="F36">
        <v>550.83227199999999</v>
      </c>
      <c r="G36">
        <v>551.54517799999996</v>
      </c>
      <c r="H36">
        <v>551.56061299999999</v>
      </c>
      <c r="I36" s="1">
        <f>AVERAGE(wTask[[#This Row],[W1]:[W5]])</f>
        <v>551.10636700000009</v>
      </c>
      <c r="J36">
        <f>_xlfn.STDEV.P(wTask[[#This Row],[W1]:[W5]])</f>
        <v>0.36558314445169182</v>
      </c>
    </row>
    <row r="37" spans="1:10" x14ac:dyDescent="0.45">
      <c r="A37" t="s">
        <v>3</v>
      </c>
      <c r="B37">
        <v>0.1</v>
      </c>
      <c r="C37" s="1">
        <v>391.16950300000002</v>
      </c>
      <c r="D37">
        <v>553.84304099999997</v>
      </c>
      <c r="E37">
        <v>554.41342899999995</v>
      </c>
      <c r="F37">
        <v>553.88899100000003</v>
      </c>
      <c r="G37">
        <v>554.09307799999999</v>
      </c>
      <c r="H37">
        <v>553.85701800000004</v>
      </c>
      <c r="I37" s="1">
        <f>AVERAGE(wTask[[#This Row],[W1]:[W5]])</f>
        <v>554.01911140000004</v>
      </c>
      <c r="J37">
        <f>_xlfn.STDEV.P(wTask[[#This Row],[W1]:[W5]])</f>
        <v>0.21687037702791456</v>
      </c>
    </row>
    <row r="38" spans="1:10" x14ac:dyDescent="0.45">
      <c r="A38" t="s">
        <v>3</v>
      </c>
      <c r="B38">
        <v>0.18</v>
      </c>
      <c r="C38" s="1">
        <v>391.86793599999999</v>
      </c>
      <c r="D38">
        <v>554.50323900000001</v>
      </c>
      <c r="E38">
        <v>554.29484100000002</v>
      </c>
      <c r="F38">
        <v>554.65192300000001</v>
      </c>
      <c r="G38">
        <v>554.521028</v>
      </c>
      <c r="H38">
        <v>554.47289499999999</v>
      </c>
      <c r="I38" s="1">
        <f>AVERAGE(wTask[[#This Row],[W1]:[W5]])</f>
        <v>554.48878519999994</v>
      </c>
      <c r="J38">
        <f>_xlfn.STDEV.P(wTask[[#This Row],[W1]:[W5]])</f>
        <v>0.11465539973747108</v>
      </c>
    </row>
    <row r="39" spans="1:10" x14ac:dyDescent="0.45">
      <c r="A39" t="s">
        <v>3</v>
      </c>
      <c r="B39">
        <v>0.31</v>
      </c>
      <c r="C39" s="1">
        <v>393.28853500000002</v>
      </c>
      <c r="D39">
        <v>572.180792</v>
      </c>
      <c r="E39">
        <v>572.26358900000002</v>
      </c>
      <c r="F39">
        <v>572.25119500000005</v>
      </c>
      <c r="G39">
        <v>572.35698200000002</v>
      </c>
      <c r="H39">
        <v>572.25715700000001</v>
      </c>
      <c r="I39" s="1">
        <f>AVERAGE(wTask[[#This Row],[W1]:[W5]])</f>
        <v>572.26194300000009</v>
      </c>
      <c r="J39">
        <f>_xlfn.STDEV.P(wTask[[#This Row],[W1]:[W5]])</f>
        <v>5.6140949293724145E-2</v>
      </c>
    </row>
    <row r="40" spans="1:10" x14ac:dyDescent="0.45">
      <c r="A40" t="s">
        <v>3</v>
      </c>
      <c r="B40">
        <v>0.56000000000000005</v>
      </c>
      <c r="C40" s="1">
        <v>391.31027899999998</v>
      </c>
      <c r="D40">
        <v>597.200197</v>
      </c>
      <c r="E40">
        <v>597.31379200000003</v>
      </c>
      <c r="F40">
        <v>597.30796099999998</v>
      </c>
      <c r="G40">
        <v>597.32473700000003</v>
      </c>
      <c r="H40">
        <v>597.32814900000005</v>
      </c>
      <c r="I40" s="1">
        <f>AVERAGE(wTask[[#This Row],[W1]:[W5]])</f>
        <v>597.29496719999997</v>
      </c>
      <c r="J40">
        <f>_xlfn.STDEV.P(wTask[[#This Row],[W1]:[W5]])</f>
        <v>4.7941371663325086E-2</v>
      </c>
    </row>
    <row r="41" spans="1:10" x14ac:dyDescent="0.45">
      <c r="A41" t="s">
        <v>3</v>
      </c>
      <c r="B41">
        <v>1</v>
      </c>
      <c r="C41" s="1">
        <v>388.71162800000002</v>
      </c>
      <c r="D41">
        <v>607.66842399999996</v>
      </c>
      <c r="E41">
        <v>607.67292399999997</v>
      </c>
      <c r="F41">
        <v>607.63472100000001</v>
      </c>
      <c r="G41">
        <v>607.69846900000005</v>
      </c>
      <c r="H41">
        <v>607.67316000000005</v>
      </c>
      <c r="I41" s="1">
        <f>AVERAGE(wTask[[#This Row],[W1]:[W5]])</f>
        <v>607.66953959999989</v>
      </c>
      <c r="J41">
        <f>_xlfn.STDEV.P(wTask[[#This Row],[W1]:[W5]])</f>
        <v>2.0371799690758592E-2</v>
      </c>
    </row>
    <row r="42" spans="1:10" x14ac:dyDescent="0.45">
      <c r="A42" s="3" t="s">
        <v>4</v>
      </c>
      <c r="B42" s="3">
        <v>0</v>
      </c>
      <c r="C42" s="4">
        <v>383.80942900000002</v>
      </c>
      <c r="D42" s="3">
        <v>551.45310700000005</v>
      </c>
      <c r="E42" s="3">
        <v>551.43794200000002</v>
      </c>
      <c r="F42" s="3">
        <v>551.53647899999999</v>
      </c>
      <c r="G42" s="3">
        <v>550.46356600000001</v>
      </c>
      <c r="H42" s="3">
        <v>551.55549499999995</v>
      </c>
      <c r="I42" s="4">
        <f>AVERAGE(wTask[[#This Row],[W1]:[W5]])</f>
        <v>551.28931780000005</v>
      </c>
      <c r="J42" s="3">
        <f>_xlfn.STDEV.P(wTask[[#This Row],[W1]:[W5]])</f>
        <v>0.41538441247855318</v>
      </c>
    </row>
    <row r="43" spans="1:10" x14ac:dyDescent="0.45">
      <c r="A43" t="s">
        <v>4</v>
      </c>
      <c r="B43">
        <v>0.01</v>
      </c>
      <c r="C43" s="1">
        <v>382.80234400000001</v>
      </c>
      <c r="D43">
        <v>560.02529200000004</v>
      </c>
      <c r="E43">
        <v>559.69360600000005</v>
      </c>
      <c r="F43">
        <v>559.86224200000004</v>
      </c>
      <c r="G43">
        <v>559.17649400000005</v>
      </c>
      <c r="H43">
        <v>559.78898300000003</v>
      </c>
      <c r="I43" s="1">
        <f>AVERAGE(wTask[[#This Row],[W1]:[W5]])</f>
        <v>559.70932340000013</v>
      </c>
      <c r="J43">
        <f>_xlfn.STDEV.P(wTask[[#This Row],[W1]:[W5]])</f>
        <v>0.28765260730651698</v>
      </c>
    </row>
    <row r="44" spans="1:10" x14ac:dyDescent="0.45">
      <c r="A44" t="s">
        <v>4</v>
      </c>
      <c r="B44">
        <v>1.7999999999999999E-2</v>
      </c>
      <c r="C44" s="1">
        <v>386.144541</v>
      </c>
      <c r="D44">
        <v>550.25778300000002</v>
      </c>
      <c r="E44">
        <v>550.47611800000004</v>
      </c>
      <c r="F44">
        <v>550.82442700000001</v>
      </c>
      <c r="G44">
        <v>550.91964199999995</v>
      </c>
      <c r="H44">
        <v>549.98766599999999</v>
      </c>
      <c r="I44" s="1">
        <f>AVERAGE(wTask[[#This Row],[W1]:[W5]])</f>
        <v>550.4931272</v>
      </c>
      <c r="J44">
        <f>_xlfn.STDEV.P(wTask[[#This Row],[W1]:[W5]])</f>
        <v>0.34722950973751349</v>
      </c>
    </row>
    <row r="45" spans="1:10" x14ac:dyDescent="0.45">
      <c r="A45" t="s">
        <v>4</v>
      </c>
      <c r="B45">
        <v>3.1E-2</v>
      </c>
      <c r="C45" s="1">
        <v>390.26629300000002</v>
      </c>
      <c r="D45">
        <v>550.43408699999998</v>
      </c>
      <c r="E45">
        <v>552.85452499999997</v>
      </c>
      <c r="F45">
        <v>551.76389700000004</v>
      </c>
      <c r="G45">
        <v>551.53436099999999</v>
      </c>
      <c r="H45">
        <v>552.65888299999995</v>
      </c>
      <c r="I45" s="1">
        <f>AVERAGE(wTask[[#This Row],[W1]:[W5]])</f>
        <v>551.84915060000003</v>
      </c>
      <c r="J45">
        <f>_xlfn.STDEV.P(wTask[[#This Row],[W1]:[W5]])</f>
        <v>0.86893151679647473</v>
      </c>
    </row>
    <row r="46" spans="1:10" x14ac:dyDescent="0.45">
      <c r="A46" t="s">
        <v>4</v>
      </c>
      <c r="B46">
        <v>5.6000000000000001E-2</v>
      </c>
      <c r="C46" s="1">
        <v>393.44855899999999</v>
      </c>
      <c r="D46">
        <v>550.81443400000001</v>
      </c>
      <c r="E46">
        <v>552.56238800000006</v>
      </c>
      <c r="F46">
        <v>551.63844800000004</v>
      </c>
      <c r="G46">
        <v>549.41897600000004</v>
      </c>
      <c r="H46">
        <v>552.75150299999996</v>
      </c>
      <c r="I46" s="1">
        <f>AVERAGE(wTask[[#This Row],[W1]:[W5]])</f>
        <v>551.43714980000004</v>
      </c>
      <c r="J46">
        <f>_xlfn.STDEV.P(wTask[[#This Row],[W1]:[W5]])</f>
        <v>1.224337107253443</v>
      </c>
    </row>
    <row r="47" spans="1:10" x14ac:dyDescent="0.45">
      <c r="A47" t="s">
        <v>4</v>
      </c>
      <c r="B47">
        <v>0.1</v>
      </c>
      <c r="C47" s="1">
        <v>391.410235</v>
      </c>
      <c r="D47">
        <v>557.04148499999997</v>
      </c>
      <c r="E47">
        <v>555.36837500000001</v>
      </c>
      <c r="F47">
        <v>555.77450399999998</v>
      </c>
      <c r="G47">
        <v>554.57175800000005</v>
      </c>
      <c r="H47">
        <v>554.66766199999995</v>
      </c>
      <c r="I47" s="1">
        <f>AVERAGE(wTask[[#This Row],[W1]:[W5]])</f>
        <v>555.4847567999999</v>
      </c>
      <c r="J47">
        <f>_xlfn.STDEV.P(wTask[[#This Row],[W1]:[W5]])</f>
        <v>0.89689593297580261</v>
      </c>
    </row>
    <row r="48" spans="1:10" x14ac:dyDescent="0.45">
      <c r="A48" t="s">
        <v>4</v>
      </c>
      <c r="B48">
        <v>0.18</v>
      </c>
      <c r="C48" s="1">
        <v>391.96306399999997</v>
      </c>
      <c r="D48">
        <v>552.21710800000005</v>
      </c>
      <c r="E48">
        <v>554.76635899999997</v>
      </c>
      <c r="F48">
        <v>558.76794400000006</v>
      </c>
      <c r="G48">
        <v>554.84789599999999</v>
      </c>
      <c r="H48">
        <v>554.59000800000001</v>
      </c>
      <c r="I48" s="1">
        <f>AVERAGE(wTask[[#This Row],[W1]:[W5]])</f>
        <v>555.03786300000013</v>
      </c>
      <c r="J48">
        <f>_xlfn.STDEV.P(wTask[[#This Row],[W1]:[W5]])</f>
        <v>2.1062069708704385</v>
      </c>
    </row>
    <row r="49" spans="1:10" x14ac:dyDescent="0.45">
      <c r="A49" t="s">
        <v>4</v>
      </c>
      <c r="B49">
        <v>0.31</v>
      </c>
      <c r="C49" s="1">
        <v>392.24059699999998</v>
      </c>
      <c r="D49">
        <v>567.36885299999994</v>
      </c>
      <c r="E49">
        <v>567.61593700000003</v>
      </c>
      <c r="F49">
        <v>565.32088699999997</v>
      </c>
      <c r="G49">
        <v>574.29410900000005</v>
      </c>
      <c r="H49">
        <v>570.08114</v>
      </c>
      <c r="I49" s="1">
        <f>AVERAGE(wTask[[#This Row],[W1]:[W5]])</f>
        <v>568.93618519999995</v>
      </c>
      <c r="J49">
        <f>_xlfn.STDEV.P(wTask[[#This Row],[W1]:[W5]])</f>
        <v>3.0753287808081149</v>
      </c>
    </row>
    <row r="50" spans="1:10" x14ac:dyDescent="0.45">
      <c r="A50" t="s">
        <v>4</v>
      </c>
      <c r="B50">
        <v>0.56000000000000005</v>
      </c>
      <c r="C50" s="1">
        <v>390.29363000000001</v>
      </c>
      <c r="D50">
        <v>581.80427899999995</v>
      </c>
      <c r="E50">
        <v>596.64816399999995</v>
      </c>
      <c r="F50">
        <v>589.55510000000004</v>
      </c>
      <c r="G50">
        <v>606.00142100000005</v>
      </c>
      <c r="H50">
        <v>576.50743199999999</v>
      </c>
      <c r="I50" s="1">
        <f>AVERAGE(wTask[[#This Row],[W1]:[W5]])</f>
        <v>590.10327919999997</v>
      </c>
      <c r="J50">
        <f>_xlfn.STDEV.P(wTask[[#This Row],[W1]:[W5]])</f>
        <v>10.484344477160608</v>
      </c>
    </row>
    <row r="51" spans="1:10" x14ac:dyDescent="0.45">
      <c r="A51" t="s">
        <v>4</v>
      </c>
      <c r="B51">
        <v>1</v>
      </c>
      <c r="C51" s="1">
        <v>388.72101400000003</v>
      </c>
      <c r="D51">
        <v>594.50180499999999</v>
      </c>
      <c r="E51">
        <v>602.851088</v>
      </c>
      <c r="F51">
        <v>571.45422699999995</v>
      </c>
      <c r="G51">
        <v>618.46088899999995</v>
      </c>
      <c r="H51">
        <v>616.01250200000004</v>
      </c>
      <c r="I51" s="1">
        <f>AVERAGE(wTask[[#This Row],[W1]:[W5]])</f>
        <v>600.65610219999996</v>
      </c>
      <c r="J51">
        <f>_xlfn.STDEV.P(wTask[[#This Row],[W1]:[W5]])</f>
        <v>17.019237936496459</v>
      </c>
    </row>
    <row r="52" spans="1:10" x14ac:dyDescent="0.45">
      <c r="A52" s="3" t="s">
        <v>5</v>
      </c>
      <c r="B52" s="3">
        <v>0</v>
      </c>
      <c r="C52" s="4">
        <v>384.19276600000001</v>
      </c>
      <c r="D52" s="3">
        <v>548.511799</v>
      </c>
      <c r="E52" s="3">
        <v>549.61570099999994</v>
      </c>
      <c r="F52" s="3">
        <v>548.54632800000002</v>
      </c>
      <c r="G52" s="3">
        <v>549.60766000000001</v>
      </c>
      <c r="H52" s="3">
        <v>549.58967500000006</v>
      </c>
      <c r="I52" s="4">
        <f>AVERAGE(wTask[[#This Row],[W1]:[W5]])</f>
        <v>549.1742326000001</v>
      </c>
      <c r="J52" s="3">
        <f>_xlfn.STDEV.P(wTask[[#This Row],[W1]:[W5]])</f>
        <v>0.52695891834130482</v>
      </c>
    </row>
    <row r="53" spans="1:10" x14ac:dyDescent="0.45">
      <c r="A53" t="s">
        <v>5</v>
      </c>
      <c r="B53">
        <v>0.01</v>
      </c>
      <c r="C53" s="1">
        <v>383.75856499999998</v>
      </c>
      <c r="D53">
        <v>551.677414</v>
      </c>
      <c r="E53">
        <v>552.45559500000002</v>
      </c>
      <c r="F53">
        <v>552.18216700000005</v>
      </c>
      <c r="G53">
        <v>551.98604799999998</v>
      </c>
      <c r="H53">
        <v>551.77527699999996</v>
      </c>
      <c r="I53" s="1">
        <f>AVERAGE(wTask[[#This Row],[W1]:[W5]])</f>
        <v>552.01530019999996</v>
      </c>
      <c r="J53">
        <f>_xlfn.STDEV.P(wTask[[#This Row],[W1]:[W5]])</f>
        <v>0.28083374147094653</v>
      </c>
    </row>
    <row r="54" spans="1:10" x14ac:dyDescent="0.45">
      <c r="A54" t="s">
        <v>5</v>
      </c>
      <c r="B54">
        <v>1.7999999999999999E-2</v>
      </c>
      <c r="C54" s="1">
        <v>385.34828499999998</v>
      </c>
      <c r="D54">
        <v>552.44404699999996</v>
      </c>
      <c r="E54">
        <v>553.23687500000005</v>
      </c>
      <c r="F54">
        <v>552.85240899999997</v>
      </c>
      <c r="G54">
        <v>553.34783200000004</v>
      </c>
      <c r="H54">
        <v>552.50396499999999</v>
      </c>
      <c r="I54" s="1">
        <f>AVERAGE(wTask[[#This Row],[W1]:[W5]])</f>
        <v>552.87702560000002</v>
      </c>
      <c r="J54">
        <f>_xlfn.STDEV.P(wTask[[#This Row],[W1]:[W5]])</f>
        <v>0.36834790980466325</v>
      </c>
    </row>
    <row r="55" spans="1:10" x14ac:dyDescent="0.45">
      <c r="A55" t="s">
        <v>5</v>
      </c>
      <c r="B55">
        <v>3.1E-2</v>
      </c>
      <c r="C55" s="1">
        <v>389.94000899999998</v>
      </c>
      <c r="D55">
        <v>551.88174900000001</v>
      </c>
      <c r="E55">
        <v>551.78183100000001</v>
      </c>
      <c r="F55">
        <v>552.56609100000003</v>
      </c>
      <c r="G55">
        <v>551.661159</v>
      </c>
      <c r="H55">
        <v>552.28087200000004</v>
      </c>
      <c r="I55" s="1">
        <f>AVERAGE(wTask[[#This Row],[W1]:[W5]])</f>
        <v>552.03434040000013</v>
      </c>
      <c r="J55">
        <f>_xlfn.STDEV.P(wTask[[#This Row],[W1]:[W5]])</f>
        <v>0.33759325234585025</v>
      </c>
    </row>
    <row r="56" spans="1:10" x14ac:dyDescent="0.45">
      <c r="A56" t="s">
        <v>5</v>
      </c>
      <c r="B56">
        <v>5.6000000000000001E-2</v>
      </c>
      <c r="C56" s="1">
        <v>393.31605999999999</v>
      </c>
      <c r="D56">
        <v>551.66709400000002</v>
      </c>
      <c r="E56">
        <v>550.69383100000005</v>
      </c>
      <c r="F56">
        <v>551.95086400000002</v>
      </c>
      <c r="G56">
        <v>551.60952499999996</v>
      </c>
      <c r="H56">
        <v>551.20791399999996</v>
      </c>
      <c r="I56" s="1">
        <f>AVERAGE(wTask[[#This Row],[W1]:[W5]])</f>
        <v>551.4258456</v>
      </c>
      <c r="J56">
        <f>_xlfn.STDEV.P(wTask[[#This Row],[W1]:[W5]])</f>
        <v>0.43610154544949092</v>
      </c>
    </row>
    <row r="57" spans="1:10" x14ac:dyDescent="0.45">
      <c r="A57" t="s">
        <v>5</v>
      </c>
      <c r="B57">
        <v>0.1</v>
      </c>
      <c r="C57" s="1">
        <v>392.30987299999998</v>
      </c>
      <c r="D57">
        <v>556.26294900000005</v>
      </c>
      <c r="E57">
        <v>556.45257800000002</v>
      </c>
      <c r="F57">
        <v>556.25260900000001</v>
      </c>
      <c r="G57">
        <v>555.01469999999995</v>
      </c>
      <c r="H57">
        <v>556.30275300000005</v>
      </c>
      <c r="I57" s="1">
        <f>AVERAGE(wTask[[#This Row],[W1]:[W5]])</f>
        <v>556.05711780000001</v>
      </c>
      <c r="J57">
        <f>_xlfn.STDEV.P(wTask[[#This Row],[W1]:[W5]])</f>
        <v>0.52610713418294763</v>
      </c>
    </row>
    <row r="58" spans="1:10" x14ac:dyDescent="0.45">
      <c r="A58" t="s">
        <v>5</v>
      </c>
      <c r="B58">
        <v>0.18</v>
      </c>
      <c r="C58" s="1">
        <v>391.82838099999998</v>
      </c>
      <c r="D58">
        <v>555.16188</v>
      </c>
      <c r="E58">
        <v>554.37795000000006</v>
      </c>
      <c r="F58">
        <v>554.93289200000004</v>
      </c>
      <c r="G58">
        <v>553.95863399999996</v>
      </c>
      <c r="H58">
        <v>554.93625999999995</v>
      </c>
      <c r="I58" s="1">
        <f>AVERAGE(wTask[[#This Row],[W1]:[W5]])</f>
        <v>554.67352319999998</v>
      </c>
      <c r="J58">
        <f>_xlfn.STDEV.P(wTask[[#This Row],[W1]:[W5]])</f>
        <v>0.44118595839596075</v>
      </c>
    </row>
    <row r="59" spans="1:10" x14ac:dyDescent="0.45">
      <c r="A59" t="s">
        <v>5</v>
      </c>
      <c r="B59">
        <v>0.31</v>
      </c>
      <c r="C59" s="1">
        <v>392.82950499999998</v>
      </c>
      <c r="D59">
        <v>570.22629099999995</v>
      </c>
      <c r="E59">
        <v>570.20441000000005</v>
      </c>
      <c r="F59">
        <v>571.57801300000006</v>
      </c>
      <c r="G59">
        <v>570.88021200000003</v>
      </c>
      <c r="H59">
        <v>570.69393000000002</v>
      </c>
      <c r="I59" s="1">
        <f>AVERAGE(wTask[[#This Row],[W1]:[W5]])</f>
        <v>570.71657119999998</v>
      </c>
      <c r="J59">
        <f>_xlfn.STDEV.P(wTask[[#This Row],[W1]:[W5]])</f>
        <v>0.50439204582287023</v>
      </c>
    </row>
    <row r="60" spans="1:10" x14ac:dyDescent="0.45">
      <c r="A60" t="s">
        <v>5</v>
      </c>
      <c r="B60">
        <v>0.56000000000000005</v>
      </c>
      <c r="C60" s="1">
        <v>390.52788500000003</v>
      </c>
      <c r="D60">
        <v>595.82548999999995</v>
      </c>
      <c r="E60">
        <v>596.40717199999995</v>
      </c>
      <c r="F60">
        <v>595.17645000000005</v>
      </c>
      <c r="G60">
        <v>595.38001499999996</v>
      </c>
      <c r="H60">
        <v>597.80632400000002</v>
      </c>
      <c r="I60" s="1">
        <f>AVERAGE(wTask[[#This Row],[W1]:[W5]])</f>
        <v>596.11909020000007</v>
      </c>
      <c r="J60">
        <f>_xlfn.STDEV.P(wTask[[#This Row],[W1]:[W5]])</f>
        <v>0.94347790591034386</v>
      </c>
    </row>
    <row r="61" spans="1:10" x14ac:dyDescent="0.45">
      <c r="A61" t="s">
        <v>5</v>
      </c>
      <c r="B61">
        <v>1</v>
      </c>
      <c r="C61" s="1">
        <v>389.03093100000001</v>
      </c>
      <c r="D61">
        <v>602.14516700000001</v>
      </c>
      <c r="E61">
        <v>611.05294600000002</v>
      </c>
      <c r="F61">
        <v>607.61879199999998</v>
      </c>
      <c r="G61">
        <v>597.56133399999999</v>
      </c>
      <c r="H61">
        <v>609.88904100000002</v>
      </c>
      <c r="I61" s="1">
        <f>AVERAGE(wTask[[#This Row],[W1]:[W5]])</f>
        <v>605.65345599999989</v>
      </c>
      <c r="J61">
        <f>_xlfn.STDEV.P(wTask[[#This Row],[W1]:[W5]])</f>
        <v>5.0744014093413305</v>
      </c>
    </row>
    <row r="62" spans="1:10" x14ac:dyDescent="0.45">
      <c r="A62" s="3" t="s">
        <v>6</v>
      </c>
      <c r="B62" s="3">
        <v>0</v>
      </c>
      <c r="C62" s="4">
        <v>384.235771</v>
      </c>
      <c r="D62" s="3">
        <v>549.40874399999996</v>
      </c>
      <c r="E62" s="3">
        <v>549.45822999999996</v>
      </c>
      <c r="F62" s="3">
        <v>550.46227999999996</v>
      </c>
      <c r="G62" s="3">
        <v>550.48631699999999</v>
      </c>
      <c r="H62" s="3">
        <v>550.52199599999994</v>
      </c>
      <c r="I62" s="4">
        <f>AVERAGE(wTask[[#This Row],[W1]:[W5]])</f>
        <v>550.06751340000005</v>
      </c>
      <c r="J62" s="3">
        <f>_xlfn.STDEV.P(wTask[[#This Row],[W1]:[W5]])</f>
        <v>0.51826536473957407</v>
      </c>
    </row>
    <row r="63" spans="1:10" x14ac:dyDescent="0.45">
      <c r="A63" t="s">
        <v>6</v>
      </c>
      <c r="B63">
        <v>0.01</v>
      </c>
      <c r="C63" s="1">
        <v>383.85864800000002</v>
      </c>
      <c r="D63">
        <v>551.23028799999997</v>
      </c>
      <c r="E63">
        <v>551.05348000000004</v>
      </c>
      <c r="F63">
        <v>551.52760899999998</v>
      </c>
      <c r="G63">
        <v>551.96104700000001</v>
      </c>
      <c r="H63">
        <v>551.67043699999999</v>
      </c>
      <c r="I63" s="1">
        <f>AVERAGE(wTask[[#This Row],[W1]:[W5]])</f>
        <v>551.48857219999991</v>
      </c>
      <c r="J63">
        <f>_xlfn.STDEV.P(wTask[[#This Row],[W1]:[W5]])</f>
        <v>0.32057668796679084</v>
      </c>
    </row>
    <row r="64" spans="1:10" x14ac:dyDescent="0.45">
      <c r="A64" t="s">
        <v>6</v>
      </c>
      <c r="B64">
        <v>1.7999999999999999E-2</v>
      </c>
      <c r="C64" s="1">
        <v>385.97997900000001</v>
      </c>
      <c r="D64">
        <v>553.11158699999999</v>
      </c>
      <c r="E64">
        <v>552.88518399999998</v>
      </c>
      <c r="F64">
        <v>553.009637</v>
      </c>
      <c r="G64">
        <v>552.80860199999995</v>
      </c>
      <c r="H64">
        <v>552.53625099999999</v>
      </c>
      <c r="I64" s="1">
        <f>AVERAGE(wTask[[#This Row],[W1]:[W5]])</f>
        <v>552.8702522000001</v>
      </c>
      <c r="J64">
        <f>_xlfn.STDEV.P(wTask[[#This Row],[W1]:[W5]])</f>
        <v>0.196596599957783</v>
      </c>
    </row>
    <row r="65" spans="1:10" x14ac:dyDescent="0.45">
      <c r="A65" t="s">
        <v>6</v>
      </c>
      <c r="B65">
        <v>3.1E-2</v>
      </c>
      <c r="C65" s="1">
        <v>390.13117099999999</v>
      </c>
      <c r="D65">
        <v>552.43730200000005</v>
      </c>
      <c r="E65">
        <v>552.39083300000004</v>
      </c>
      <c r="F65">
        <v>552.87845100000004</v>
      </c>
      <c r="G65">
        <v>552.66674399999999</v>
      </c>
      <c r="H65">
        <v>552.84448699999996</v>
      </c>
      <c r="I65" s="1">
        <f>AVERAGE(wTask[[#This Row],[W1]:[W5]])</f>
        <v>552.64356340000006</v>
      </c>
      <c r="J65">
        <f>_xlfn.STDEV.P(wTask[[#This Row],[W1]:[W5]])</f>
        <v>0.20124424866373783</v>
      </c>
    </row>
    <row r="66" spans="1:10" x14ac:dyDescent="0.45">
      <c r="A66" t="s">
        <v>6</v>
      </c>
      <c r="B66">
        <v>5.6000000000000001E-2</v>
      </c>
      <c r="C66" s="1">
        <v>393.61920900000001</v>
      </c>
      <c r="D66">
        <v>551.72058100000004</v>
      </c>
      <c r="E66">
        <v>552.15643699999998</v>
      </c>
      <c r="F66">
        <v>551.52581899999996</v>
      </c>
      <c r="G66">
        <v>551.43996100000004</v>
      </c>
      <c r="H66">
        <v>551.48543299999994</v>
      </c>
      <c r="I66" s="1">
        <f>AVERAGE(wTask[[#This Row],[W1]:[W5]])</f>
        <v>551.66564619999997</v>
      </c>
      <c r="J66">
        <f>_xlfn.STDEV.P(wTask[[#This Row],[W1]:[W5]])</f>
        <v>0.26338401410442591</v>
      </c>
    </row>
    <row r="67" spans="1:10" x14ac:dyDescent="0.45">
      <c r="A67" t="s">
        <v>6</v>
      </c>
      <c r="B67">
        <v>0.1</v>
      </c>
      <c r="C67" s="1">
        <v>391.46798899999999</v>
      </c>
      <c r="D67">
        <v>556.19511</v>
      </c>
      <c r="E67">
        <v>556.218209</v>
      </c>
      <c r="F67">
        <v>556.10623799999996</v>
      </c>
      <c r="G67">
        <v>556.24358199999995</v>
      </c>
      <c r="H67">
        <v>557.02218300000004</v>
      </c>
      <c r="I67" s="1">
        <f>AVERAGE(wTask[[#This Row],[W1]:[W5]])</f>
        <v>556.35706440000001</v>
      </c>
      <c r="J67">
        <f>_xlfn.STDEV.P(wTask[[#This Row],[W1]:[W5]])</f>
        <v>0.33576329159134866</v>
      </c>
    </row>
    <row r="68" spans="1:10" x14ac:dyDescent="0.45">
      <c r="A68" t="s">
        <v>6</v>
      </c>
      <c r="B68">
        <v>0.18</v>
      </c>
      <c r="C68" s="1">
        <v>391.52560599999998</v>
      </c>
      <c r="D68">
        <v>556.02273000000002</v>
      </c>
      <c r="E68">
        <v>555.44331999999997</v>
      </c>
      <c r="F68">
        <v>555.51942799999995</v>
      </c>
      <c r="G68">
        <v>555.88820799999996</v>
      </c>
      <c r="H68">
        <v>555.90759800000001</v>
      </c>
      <c r="I68" s="1">
        <f>AVERAGE(wTask[[#This Row],[W1]:[W5]])</f>
        <v>555.75625679999996</v>
      </c>
      <c r="J68">
        <f>_xlfn.STDEV.P(wTask[[#This Row],[W1]:[W5]])</f>
        <v>0.23036517341857374</v>
      </c>
    </row>
    <row r="69" spans="1:10" x14ac:dyDescent="0.45">
      <c r="A69" t="s">
        <v>6</v>
      </c>
      <c r="B69">
        <v>0.31</v>
      </c>
      <c r="C69" s="1">
        <v>392.64300100000003</v>
      </c>
      <c r="D69">
        <v>570.20452699999998</v>
      </c>
      <c r="E69">
        <v>570.73030000000006</v>
      </c>
      <c r="F69">
        <v>570.56922899999995</v>
      </c>
      <c r="G69">
        <v>571.570832</v>
      </c>
      <c r="H69">
        <v>570.92795000000001</v>
      </c>
      <c r="I69" s="1">
        <f>AVERAGE(wTask[[#This Row],[W1]:[W5]])</f>
        <v>570.80056760000002</v>
      </c>
      <c r="J69">
        <f>_xlfn.STDEV.P(wTask[[#This Row],[W1]:[W5]])</f>
        <v>0.45238324505782251</v>
      </c>
    </row>
    <row r="70" spans="1:10" x14ac:dyDescent="0.45">
      <c r="A70" t="s">
        <v>6</v>
      </c>
      <c r="B70">
        <v>0.56000000000000005</v>
      </c>
      <c r="C70" s="1">
        <v>390.99314099999998</v>
      </c>
      <c r="D70">
        <v>595.77032599999995</v>
      </c>
      <c r="E70">
        <v>597.28657299999998</v>
      </c>
      <c r="F70">
        <v>596.03406800000005</v>
      </c>
      <c r="G70">
        <v>597.853701</v>
      </c>
      <c r="H70">
        <v>598.13680799999997</v>
      </c>
      <c r="I70" s="1">
        <f>AVERAGE(wTask[[#This Row],[W1]:[W5]])</f>
        <v>597.01629520000006</v>
      </c>
      <c r="J70">
        <f>_xlfn.STDEV.P(wTask[[#This Row],[W1]:[W5]])</f>
        <v>0.95363064315055956</v>
      </c>
    </row>
    <row r="71" spans="1:10" x14ac:dyDescent="0.45">
      <c r="A71" t="s">
        <v>6</v>
      </c>
      <c r="B71">
        <v>1</v>
      </c>
      <c r="C71" s="1">
        <v>388.55874999999997</v>
      </c>
      <c r="D71">
        <v>605.61364400000002</v>
      </c>
      <c r="E71">
        <v>606.888462</v>
      </c>
      <c r="F71">
        <v>607.36831900000004</v>
      </c>
      <c r="G71">
        <v>608.07787800000006</v>
      </c>
      <c r="H71">
        <v>607.53111000000001</v>
      </c>
      <c r="I71" s="1">
        <f>AVERAGE(wTask[[#This Row],[W1]:[W5]])</f>
        <v>607.09588259999998</v>
      </c>
      <c r="J71">
        <f>_xlfn.STDEV.P(wTask[[#This Row],[W1]:[W5]])</f>
        <v>0.83282819596976609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B52E0-E3DC-4A25-A1C2-390DAB3ECDC5}">
  <dimension ref="A1:J71"/>
  <sheetViews>
    <sheetView workbookViewId="0">
      <selection activeCell="K22" sqref="K22"/>
    </sheetView>
  </sheetViews>
  <sheetFormatPr baseColWidth="10" defaultColWidth="9.06640625" defaultRowHeight="14.25" x14ac:dyDescent="0.45"/>
  <cols>
    <col min="1" max="8" width="11.3984375" bestFit="1" customWidth="1"/>
    <col min="9" max="9" width="11.06640625" customWidth="1"/>
    <col min="10" max="10" width="11.73046875" bestFit="1" customWidth="1"/>
  </cols>
  <sheetData>
    <row r="1" spans="1:10" x14ac:dyDescent="0.45">
      <c r="A1" t="s">
        <v>7</v>
      </c>
      <c r="B1" t="s">
        <v>8</v>
      </c>
      <c r="C1" t="s">
        <v>20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</row>
    <row r="2" spans="1:10" x14ac:dyDescent="0.45">
      <c r="A2" t="s">
        <v>0</v>
      </c>
      <c r="B2">
        <v>0</v>
      </c>
      <c r="C2" s="1">
        <v>2.42E-4</v>
      </c>
      <c r="D2">
        <v>4.0000000000000002E-4</v>
      </c>
      <c r="E2">
        <v>3.8400000000000001E-4</v>
      </c>
      <c r="F2">
        <v>3.5799999999999997E-4</v>
      </c>
      <c r="G2">
        <v>3.86E-4</v>
      </c>
      <c r="H2">
        <v>6.5700000000000003E-4</v>
      </c>
      <c r="I2" s="1">
        <f>AVERAGE(wOver[[#This Row],[W1]:[W5]])</f>
        <v>4.3700000000000005E-4</v>
      </c>
      <c r="J2">
        <f>_xlfn.STDEV.P(wOver[[#This Row],[W1]:[W5]])</f>
        <v>1.1083320801997929E-4</v>
      </c>
    </row>
    <row r="3" spans="1:10" x14ac:dyDescent="0.45">
      <c r="A3" t="s">
        <v>0</v>
      </c>
      <c r="B3">
        <v>0.01</v>
      </c>
      <c r="C3" s="1">
        <v>3.2499999999999999E-4</v>
      </c>
      <c r="D3">
        <v>5.6800000000000004E-4</v>
      </c>
      <c r="E3">
        <v>5.4699999999999996E-4</v>
      </c>
      <c r="F3">
        <v>6.4400000000000004E-4</v>
      </c>
      <c r="G3">
        <v>6.1799999999999995E-4</v>
      </c>
      <c r="H3">
        <v>5.22E-4</v>
      </c>
      <c r="I3" s="1">
        <f>AVERAGE(wOver[[#This Row],[W1]:[W5]])</f>
        <v>5.798E-4</v>
      </c>
      <c r="J3">
        <f>_xlfn.STDEV.P(wOver[[#This Row],[W1]:[W5]])</f>
        <v>4.5026214586616101E-5</v>
      </c>
    </row>
    <row r="4" spans="1:10" x14ac:dyDescent="0.45">
      <c r="A4" t="s">
        <v>0</v>
      </c>
      <c r="B4">
        <v>1.7999999999999999E-2</v>
      </c>
      <c r="C4" s="1">
        <v>4.1599999999999997E-4</v>
      </c>
      <c r="D4">
        <v>5.2700000000000002E-4</v>
      </c>
      <c r="E4">
        <v>5.3600000000000002E-4</v>
      </c>
      <c r="F4">
        <v>5.6700000000000001E-4</v>
      </c>
      <c r="G4">
        <v>5.9900000000000003E-4</v>
      </c>
      <c r="H4">
        <v>6.9800000000000005E-4</v>
      </c>
      <c r="I4" s="1">
        <f>AVERAGE(wOver[[#This Row],[W1]:[W5]])</f>
        <v>5.8540000000000003E-4</v>
      </c>
      <c r="J4">
        <f>_xlfn.STDEV.P(wOver[[#This Row],[W1]:[W5]])</f>
        <v>6.1730381498902151E-5</v>
      </c>
    </row>
    <row r="5" spans="1:10" x14ac:dyDescent="0.45">
      <c r="A5" t="s">
        <v>0</v>
      </c>
      <c r="B5">
        <v>3.1E-2</v>
      </c>
      <c r="C5" s="1">
        <v>3.97E-4</v>
      </c>
      <c r="D5">
        <v>6.0999999999999997E-4</v>
      </c>
      <c r="E5">
        <v>6.0300000000000002E-4</v>
      </c>
      <c r="F5">
        <v>5.9800000000000001E-4</v>
      </c>
      <c r="G5">
        <v>5.9500000000000004E-4</v>
      </c>
      <c r="H5">
        <v>5.8399999999999999E-4</v>
      </c>
      <c r="I5" s="1">
        <f>AVERAGE(wOver[[#This Row],[W1]:[W5]])</f>
        <v>5.9800000000000001E-4</v>
      </c>
      <c r="J5">
        <f>_xlfn.STDEV.P(wOver[[#This Row],[W1]:[W5]])</f>
        <v>8.6486993241758563E-6</v>
      </c>
    </row>
    <row r="6" spans="1:10" x14ac:dyDescent="0.45">
      <c r="A6" t="s">
        <v>0</v>
      </c>
      <c r="B6">
        <v>5.6000000000000001E-2</v>
      </c>
      <c r="C6" s="1">
        <v>4.0099999999999999E-4</v>
      </c>
      <c r="D6">
        <v>5.6700000000000001E-4</v>
      </c>
      <c r="E6">
        <v>5.7799999999999995E-4</v>
      </c>
      <c r="F6">
        <v>5.9999999999999995E-4</v>
      </c>
      <c r="G6">
        <v>6.1200000000000002E-4</v>
      </c>
      <c r="H6">
        <v>6.2500000000000001E-4</v>
      </c>
      <c r="I6" s="1">
        <f>AVERAGE(wOver[[#This Row],[W1]:[W5]])</f>
        <v>5.9640000000000008E-4</v>
      </c>
      <c r="J6">
        <f>_xlfn.STDEV.P(wOver[[#This Row],[W1]:[W5]])</f>
        <v>2.1341040274550826E-5</v>
      </c>
    </row>
    <row r="7" spans="1:10" x14ac:dyDescent="0.45">
      <c r="A7" t="s">
        <v>0</v>
      </c>
      <c r="B7">
        <v>0.1</v>
      </c>
      <c r="C7" s="1">
        <v>3.8900000000000002E-4</v>
      </c>
      <c r="D7">
        <v>5.8799999999999998E-4</v>
      </c>
      <c r="E7">
        <v>6.5700000000000003E-4</v>
      </c>
      <c r="F7">
        <v>6.11E-4</v>
      </c>
      <c r="G7">
        <v>6.0099999999999997E-4</v>
      </c>
      <c r="H7">
        <v>5.9999999999999995E-4</v>
      </c>
      <c r="I7" s="1">
        <f>AVERAGE(wOver[[#This Row],[W1]:[W5]])</f>
        <v>6.1140000000000001E-4</v>
      </c>
      <c r="J7">
        <f>_xlfn.STDEV.P(wOver[[#This Row],[W1]:[W5]])</f>
        <v>2.3938253904577109E-5</v>
      </c>
    </row>
    <row r="8" spans="1:10" x14ac:dyDescent="0.45">
      <c r="A8" t="s">
        <v>0</v>
      </c>
      <c r="B8">
        <v>0.18</v>
      </c>
      <c r="C8" s="1">
        <v>3.97E-4</v>
      </c>
      <c r="D8">
        <v>6.0499999999999996E-4</v>
      </c>
      <c r="E8">
        <v>6.0899999999999995E-4</v>
      </c>
      <c r="F8">
        <v>6.0300000000000002E-4</v>
      </c>
      <c r="G8">
        <v>6.0499999999999996E-4</v>
      </c>
      <c r="H8">
        <v>5.9100000000000005E-4</v>
      </c>
      <c r="I8" s="1">
        <f>AVERAGE(wOver[[#This Row],[W1]:[W5]])</f>
        <v>6.025999999999999E-4</v>
      </c>
      <c r="J8">
        <f>_xlfn.STDEV.P(wOver[[#This Row],[W1]:[W5]])</f>
        <v>6.1188234163113049E-6</v>
      </c>
    </row>
    <row r="9" spans="1:10" x14ac:dyDescent="0.45">
      <c r="A9" t="s">
        <v>0</v>
      </c>
      <c r="B9">
        <v>0.31</v>
      </c>
      <c r="C9" s="1">
        <v>3.9899999999999999E-4</v>
      </c>
      <c r="D9">
        <v>6.1700000000000004E-4</v>
      </c>
      <c r="E9">
        <v>5.9699999999999998E-4</v>
      </c>
      <c r="F9">
        <v>6.0300000000000002E-4</v>
      </c>
      <c r="G9">
        <v>6.2299999999999996E-4</v>
      </c>
      <c r="H9">
        <v>5.7799999999999995E-4</v>
      </c>
      <c r="I9" s="1">
        <f>AVERAGE(wOver[[#This Row],[W1]:[W5]])</f>
        <v>6.0359999999999993E-4</v>
      </c>
      <c r="J9">
        <f>_xlfn.STDEV.P(wOver[[#This Row],[W1]:[W5]])</f>
        <v>1.5844241856270701E-5</v>
      </c>
    </row>
    <row r="10" spans="1:10" x14ac:dyDescent="0.45">
      <c r="A10" t="s">
        <v>0</v>
      </c>
      <c r="B10">
        <v>0.56000000000000005</v>
      </c>
      <c r="C10" s="1">
        <v>4.0900000000000002E-4</v>
      </c>
      <c r="D10">
        <v>6.2699999999999995E-4</v>
      </c>
      <c r="E10">
        <v>6.0599999999999998E-4</v>
      </c>
      <c r="F10">
        <v>6.02E-4</v>
      </c>
      <c r="G10">
        <v>5.9999999999999995E-4</v>
      </c>
      <c r="H10">
        <v>6.3299999999999999E-4</v>
      </c>
      <c r="I10" s="1">
        <f>AVERAGE(wOver[[#This Row],[W1]:[W5]])</f>
        <v>6.1359999999999995E-4</v>
      </c>
      <c r="J10">
        <f>_xlfn.STDEV.P(wOver[[#This Row],[W1]:[W5]])</f>
        <v>1.3661625086350453E-5</v>
      </c>
    </row>
    <row r="11" spans="1:10" x14ac:dyDescent="0.45">
      <c r="A11" t="s">
        <v>0</v>
      </c>
      <c r="B11">
        <v>1</v>
      </c>
      <c r="C11" s="1">
        <v>3.7800000000000003E-4</v>
      </c>
      <c r="D11">
        <v>6.0099999999999997E-4</v>
      </c>
      <c r="E11">
        <v>6.3000000000000003E-4</v>
      </c>
      <c r="F11">
        <v>5.9000000000000003E-4</v>
      </c>
      <c r="G11">
        <v>6.1899999999999998E-4</v>
      </c>
      <c r="H11">
        <v>6.29E-4</v>
      </c>
      <c r="I11" s="1">
        <f>AVERAGE(wOver[[#This Row],[W1]:[W5]])</f>
        <v>6.1379999999999996E-4</v>
      </c>
      <c r="J11">
        <f>_xlfn.STDEV.P(wOver[[#This Row],[W1]:[W5]])</f>
        <v>1.5816447135814034E-5</v>
      </c>
    </row>
    <row r="12" spans="1:10" x14ac:dyDescent="0.45">
      <c r="A12" s="3" t="s">
        <v>1</v>
      </c>
      <c r="B12" s="3">
        <v>0</v>
      </c>
      <c r="C12" s="4">
        <v>2.92E-4</v>
      </c>
      <c r="D12" s="3">
        <v>3.6499999999999998E-4</v>
      </c>
      <c r="E12" s="3">
        <v>3.6000000000000002E-4</v>
      </c>
      <c r="F12" s="3">
        <v>3.8299999999999999E-4</v>
      </c>
      <c r="G12" s="3">
        <v>7.2099999999999996E-4</v>
      </c>
      <c r="H12" s="3">
        <v>3.7800000000000003E-4</v>
      </c>
      <c r="I12" s="4">
        <f>AVERAGE(wOver[[#This Row],[W1]:[W5]])</f>
        <v>4.4139999999999994E-4</v>
      </c>
      <c r="J12" s="3">
        <f>_xlfn.STDEV.P(wOver[[#This Row],[W1]:[W5]])</f>
        <v>1.4004941984885192E-4</v>
      </c>
    </row>
    <row r="13" spans="1:10" x14ac:dyDescent="0.45">
      <c r="A13" t="s">
        <v>1</v>
      </c>
      <c r="B13">
        <v>0.01</v>
      </c>
      <c r="C13" s="1">
        <v>3.6999999999999999E-4</v>
      </c>
      <c r="D13">
        <v>5.31E-4</v>
      </c>
      <c r="E13">
        <v>6.6500000000000001E-4</v>
      </c>
      <c r="F13">
        <v>4.5800000000000002E-4</v>
      </c>
      <c r="G13">
        <v>4.4700000000000002E-4</v>
      </c>
      <c r="H13">
        <v>5.9599999999999996E-4</v>
      </c>
      <c r="I13" s="1">
        <f>AVERAGE(wOver[[#This Row],[W1]:[W5]])</f>
        <v>5.3939999999999999E-4</v>
      </c>
      <c r="J13">
        <f>_xlfn.STDEV.P(wOver[[#This Row],[W1]:[W5]])</f>
        <v>8.2720251450294798E-5</v>
      </c>
    </row>
    <row r="14" spans="1:10" x14ac:dyDescent="0.45">
      <c r="A14" t="s">
        <v>1</v>
      </c>
      <c r="B14">
        <v>1.7999999999999999E-2</v>
      </c>
      <c r="C14" s="1">
        <v>3.7300000000000001E-4</v>
      </c>
      <c r="D14">
        <v>6.2200000000000005E-4</v>
      </c>
      <c r="E14">
        <v>5.7799999999999995E-4</v>
      </c>
      <c r="F14">
        <v>5.6899999999999995E-4</v>
      </c>
      <c r="G14">
        <v>6.3100000000000005E-4</v>
      </c>
      <c r="H14">
        <v>6.0700000000000001E-4</v>
      </c>
      <c r="I14" s="1">
        <f>AVERAGE(wOver[[#This Row],[W1]:[W5]])</f>
        <v>6.0139999999999998E-4</v>
      </c>
      <c r="J14">
        <f>_xlfn.STDEV.P(wOver[[#This Row],[W1]:[W5]])</f>
        <v>2.420413187866902E-5</v>
      </c>
    </row>
    <row r="15" spans="1:10" x14ac:dyDescent="0.45">
      <c r="A15" t="s">
        <v>1</v>
      </c>
      <c r="B15">
        <v>3.1E-2</v>
      </c>
      <c r="C15" s="1">
        <v>3.7199999999999999E-4</v>
      </c>
      <c r="D15">
        <v>5.8699999999999996E-4</v>
      </c>
      <c r="E15">
        <v>5.8600000000000004E-4</v>
      </c>
      <c r="F15">
        <v>5.5699999999999999E-4</v>
      </c>
      <c r="G15">
        <v>6.02E-4</v>
      </c>
      <c r="H15">
        <v>5.6899999999999995E-4</v>
      </c>
      <c r="I15" s="1">
        <f>AVERAGE(wOver[[#This Row],[W1]:[W5]])</f>
        <v>5.8020000000000001E-4</v>
      </c>
      <c r="J15">
        <f>_xlfn.STDEV.P(wOver[[#This Row],[W1]:[W5]])</f>
        <v>1.5612815249019001E-5</v>
      </c>
    </row>
    <row r="16" spans="1:10" x14ac:dyDescent="0.45">
      <c r="A16" t="s">
        <v>1</v>
      </c>
      <c r="B16">
        <v>5.6000000000000001E-2</v>
      </c>
      <c r="C16" s="1">
        <v>4.0299999999999998E-4</v>
      </c>
      <c r="D16">
        <v>5.9000000000000003E-4</v>
      </c>
      <c r="E16">
        <v>6.1399999999999996E-4</v>
      </c>
      <c r="F16">
        <v>5.8699999999999996E-4</v>
      </c>
      <c r="G16">
        <v>5.9400000000000002E-4</v>
      </c>
      <c r="H16">
        <v>6.0899999999999995E-4</v>
      </c>
      <c r="I16" s="1">
        <f>AVERAGE(wOver[[#This Row],[W1]:[W5]])</f>
        <v>5.9880000000000003E-4</v>
      </c>
      <c r="J16">
        <f>_xlfn.STDEV.P(wOver[[#This Row],[W1]:[W5]])</f>
        <v>1.0721940122944151E-5</v>
      </c>
    </row>
    <row r="17" spans="1:10" x14ac:dyDescent="0.45">
      <c r="A17" t="s">
        <v>1</v>
      </c>
      <c r="B17">
        <v>0.1</v>
      </c>
      <c r="C17" s="1">
        <v>3.7399999999999998E-4</v>
      </c>
      <c r="D17">
        <v>6.11E-4</v>
      </c>
      <c r="E17">
        <v>5.8200000000000005E-4</v>
      </c>
      <c r="F17">
        <v>5.8E-4</v>
      </c>
      <c r="G17">
        <v>6.1200000000000002E-4</v>
      </c>
      <c r="H17">
        <v>5.7899999999999998E-4</v>
      </c>
      <c r="I17" s="1">
        <f>AVERAGE(wOver[[#This Row],[W1]:[W5]])</f>
        <v>5.9279999999999999E-4</v>
      </c>
      <c r="J17">
        <f>_xlfn.STDEV.P(wOver[[#This Row],[W1]:[W5]])</f>
        <v>1.5302287410710859E-5</v>
      </c>
    </row>
    <row r="18" spans="1:10" x14ac:dyDescent="0.45">
      <c r="A18" t="s">
        <v>1</v>
      </c>
      <c r="B18">
        <v>0.18</v>
      </c>
      <c r="C18" s="1">
        <v>3.9500000000000001E-4</v>
      </c>
      <c r="D18">
        <v>6.0300000000000002E-4</v>
      </c>
      <c r="E18">
        <v>5.9599999999999996E-4</v>
      </c>
      <c r="F18">
        <v>6.4499999999999996E-4</v>
      </c>
      <c r="G18">
        <v>5.8200000000000005E-4</v>
      </c>
      <c r="H18">
        <v>6.0800000000000003E-4</v>
      </c>
      <c r="I18" s="1">
        <f>AVERAGE(wOver[[#This Row],[W1]:[W5]])</f>
        <v>6.068E-4</v>
      </c>
      <c r="J18">
        <f>_xlfn.STDEV.P(wOver[[#This Row],[W1]:[W5]])</f>
        <v>2.1008569680013889E-5</v>
      </c>
    </row>
    <row r="19" spans="1:10" x14ac:dyDescent="0.45">
      <c r="A19" t="s">
        <v>1</v>
      </c>
      <c r="B19">
        <v>0.31</v>
      </c>
      <c r="C19" s="1">
        <v>3.5399999999999999E-4</v>
      </c>
      <c r="D19">
        <v>6.2E-4</v>
      </c>
      <c r="E19">
        <v>5.8699999999999996E-4</v>
      </c>
      <c r="F19">
        <v>6.29E-4</v>
      </c>
      <c r="G19">
        <v>6.1200000000000002E-4</v>
      </c>
      <c r="H19">
        <v>6.0999999999999997E-4</v>
      </c>
      <c r="I19" s="1">
        <f>AVERAGE(wOver[[#This Row],[W1]:[W5]])</f>
        <v>6.1160000000000001E-4</v>
      </c>
      <c r="J19">
        <f>_xlfn.STDEV.P(wOver[[#This Row],[W1]:[W5]])</f>
        <v>1.4008568806269984E-5</v>
      </c>
    </row>
    <row r="20" spans="1:10" x14ac:dyDescent="0.45">
      <c r="A20" t="s">
        <v>1</v>
      </c>
      <c r="B20">
        <v>0.56000000000000005</v>
      </c>
      <c r="C20" s="1">
        <v>3.9800000000000002E-4</v>
      </c>
      <c r="D20">
        <v>5.8900000000000001E-4</v>
      </c>
      <c r="E20">
        <v>6.11E-4</v>
      </c>
      <c r="F20">
        <v>6.1300000000000005E-4</v>
      </c>
      <c r="G20">
        <v>5.5800000000000001E-4</v>
      </c>
      <c r="H20">
        <v>6.2100000000000002E-4</v>
      </c>
      <c r="I20" s="1">
        <f>AVERAGE(wOver[[#This Row],[W1]:[W5]])</f>
        <v>5.9840000000000002E-4</v>
      </c>
      <c r="J20">
        <f>_xlfn.STDEV.P(wOver[[#This Row],[W1]:[W5]])</f>
        <v>2.2817537115122664E-5</v>
      </c>
    </row>
    <row r="21" spans="1:10" x14ac:dyDescent="0.45">
      <c r="A21" t="s">
        <v>1</v>
      </c>
      <c r="B21">
        <v>1</v>
      </c>
      <c r="C21" s="1">
        <v>3.6699999999999998E-4</v>
      </c>
      <c r="D21">
        <v>5.8100000000000003E-4</v>
      </c>
      <c r="E21">
        <v>6.3400000000000001E-4</v>
      </c>
      <c r="F21">
        <v>5.4900000000000001E-4</v>
      </c>
      <c r="G21">
        <v>6.29E-4</v>
      </c>
      <c r="H21">
        <v>6.2600000000000004E-4</v>
      </c>
      <c r="I21" s="1">
        <f>AVERAGE(wOver[[#This Row],[W1]:[W5]])</f>
        <v>6.0380000000000004E-4</v>
      </c>
      <c r="J21">
        <f>_xlfn.STDEV.P(wOver[[#This Row],[W1]:[W5]])</f>
        <v>3.3355059586215704E-5</v>
      </c>
    </row>
    <row r="22" spans="1:10" x14ac:dyDescent="0.45">
      <c r="A22" s="3" t="s">
        <v>2</v>
      </c>
      <c r="B22" s="3">
        <v>0</v>
      </c>
      <c r="C22" s="4">
        <v>8.0900000000000004E-4</v>
      </c>
      <c r="D22" s="3">
        <v>1.737E-3</v>
      </c>
      <c r="E22" s="3">
        <v>1.1379999999999999E-3</v>
      </c>
      <c r="F22" s="3">
        <v>1.585E-3</v>
      </c>
      <c r="G22" s="3">
        <v>1.2329999999999999E-3</v>
      </c>
      <c r="H22" s="3">
        <v>1.209E-3</v>
      </c>
      <c r="I22" s="4">
        <f>AVERAGE(wOver[[#This Row],[W1]:[W5]])</f>
        <v>1.3803999999999999E-3</v>
      </c>
      <c r="J22" s="3">
        <f>_xlfn.STDEV.P(wOver[[#This Row],[W1]:[W5]])</f>
        <v>2.3617247934507529E-4</v>
      </c>
    </row>
    <row r="23" spans="1:10" x14ac:dyDescent="0.45">
      <c r="A23" t="s">
        <v>2</v>
      </c>
      <c r="B23">
        <v>0.01</v>
      </c>
      <c r="C23" s="1">
        <v>1.155E-3</v>
      </c>
      <c r="D23">
        <v>1.681E-3</v>
      </c>
      <c r="E23">
        <v>1.758E-3</v>
      </c>
      <c r="F23">
        <v>1.836E-3</v>
      </c>
      <c r="G23">
        <v>1.732E-3</v>
      </c>
      <c r="H23">
        <v>1.781E-3</v>
      </c>
      <c r="I23" s="1">
        <f>AVERAGE(wOver[[#This Row],[W1]:[W5]])</f>
        <v>1.7576000000000002E-3</v>
      </c>
      <c r="J23">
        <f>_xlfn.STDEV.P(wOver[[#This Row],[W1]:[W5]])</f>
        <v>5.1414394871475435E-5</v>
      </c>
    </row>
    <row r="24" spans="1:10" x14ac:dyDescent="0.45">
      <c r="A24" t="s">
        <v>2</v>
      </c>
      <c r="B24">
        <v>1.7999999999999999E-2</v>
      </c>
      <c r="C24" s="1">
        <v>1.2019999999999999E-3</v>
      </c>
      <c r="D24">
        <v>1.797E-3</v>
      </c>
      <c r="E24">
        <v>1.7129999999999999E-3</v>
      </c>
      <c r="F24">
        <v>1.6590000000000001E-3</v>
      </c>
      <c r="G24">
        <v>1.768E-3</v>
      </c>
      <c r="H24">
        <v>1.7240000000000001E-3</v>
      </c>
      <c r="I24" s="1">
        <f>AVERAGE(wOver[[#This Row],[W1]:[W5]])</f>
        <v>1.7322000000000001E-3</v>
      </c>
      <c r="J24">
        <f>_xlfn.STDEV.P(wOver[[#This Row],[W1]:[W5]])</f>
        <v>4.7486419111152168E-5</v>
      </c>
    </row>
    <row r="25" spans="1:10" x14ac:dyDescent="0.45">
      <c r="A25" t="s">
        <v>2</v>
      </c>
      <c r="B25">
        <v>3.1E-2</v>
      </c>
      <c r="C25" s="1">
        <v>1.1509999999999999E-3</v>
      </c>
      <c r="D25">
        <v>1.583E-3</v>
      </c>
      <c r="E25">
        <v>1.784E-3</v>
      </c>
      <c r="F25">
        <v>1.702E-3</v>
      </c>
      <c r="G25">
        <v>1.7099999999999999E-3</v>
      </c>
      <c r="H25">
        <v>1.627E-3</v>
      </c>
      <c r="I25" s="1">
        <f>AVERAGE(wOver[[#This Row],[W1]:[W5]])</f>
        <v>1.6812000000000001E-3</v>
      </c>
      <c r="J25">
        <f>_xlfn.STDEV.P(wOver[[#This Row],[W1]:[W5]])</f>
        <v>6.9872455230942038E-5</v>
      </c>
    </row>
    <row r="26" spans="1:10" x14ac:dyDescent="0.45">
      <c r="A26" t="s">
        <v>2</v>
      </c>
      <c r="B26">
        <v>5.6000000000000001E-2</v>
      </c>
      <c r="C26" s="1">
        <v>1.1800000000000001E-3</v>
      </c>
      <c r="D26">
        <v>1.557E-3</v>
      </c>
      <c r="E26">
        <v>1.7060000000000001E-3</v>
      </c>
      <c r="F26">
        <v>1.673E-3</v>
      </c>
      <c r="G26">
        <v>1.7910000000000001E-3</v>
      </c>
      <c r="H26">
        <v>1.6980000000000001E-3</v>
      </c>
      <c r="I26" s="1">
        <f>AVERAGE(wOver[[#This Row],[W1]:[W5]])</f>
        <v>1.6850000000000001E-3</v>
      </c>
      <c r="J26">
        <f>_xlfn.STDEV.P(wOver[[#This Row],[W1]:[W5]])</f>
        <v>7.5331268408277864E-5</v>
      </c>
    </row>
    <row r="27" spans="1:10" x14ac:dyDescent="0.45">
      <c r="A27" t="s">
        <v>2</v>
      </c>
      <c r="B27">
        <v>0.1</v>
      </c>
      <c r="C27" s="1">
        <v>1.1850000000000001E-3</v>
      </c>
      <c r="D27">
        <v>1.6949999999999999E-3</v>
      </c>
      <c r="E27">
        <v>1.7440000000000001E-3</v>
      </c>
      <c r="F27">
        <v>1.7390000000000001E-3</v>
      </c>
      <c r="G27">
        <v>1.67E-3</v>
      </c>
      <c r="H27">
        <v>1.6590000000000001E-3</v>
      </c>
      <c r="I27" s="1">
        <f>AVERAGE(wOver[[#This Row],[W1]:[W5]])</f>
        <v>1.7014E-3</v>
      </c>
      <c r="J27">
        <f>_xlfn.STDEV.P(wOver[[#This Row],[W1]:[W5]])</f>
        <v>3.4794252398923606E-5</v>
      </c>
    </row>
    <row r="28" spans="1:10" x14ac:dyDescent="0.45">
      <c r="A28" t="s">
        <v>2</v>
      </c>
      <c r="B28">
        <v>0.18</v>
      </c>
      <c r="C28" s="1">
        <v>1.1839999999999999E-3</v>
      </c>
      <c r="D28">
        <v>1.66E-3</v>
      </c>
      <c r="E28">
        <v>1.6770000000000001E-3</v>
      </c>
      <c r="F28">
        <v>1.6169999999999999E-3</v>
      </c>
      <c r="G28">
        <v>1.668E-3</v>
      </c>
      <c r="H28">
        <v>1.714E-3</v>
      </c>
      <c r="I28" s="1">
        <f>AVERAGE(wOver[[#This Row],[W1]:[W5]])</f>
        <v>1.6672E-3</v>
      </c>
      <c r="J28">
        <f>_xlfn.STDEV.P(wOver[[#This Row],[W1]:[W5]])</f>
        <v>3.1173065296823186E-5</v>
      </c>
    </row>
    <row r="29" spans="1:10" x14ac:dyDescent="0.45">
      <c r="A29" t="s">
        <v>2</v>
      </c>
      <c r="B29">
        <v>0.31</v>
      </c>
      <c r="C29" s="1">
        <v>1.23E-3</v>
      </c>
      <c r="D29">
        <v>1.632E-3</v>
      </c>
      <c r="E29">
        <v>1.6230000000000001E-3</v>
      </c>
      <c r="F29">
        <v>1.647E-3</v>
      </c>
      <c r="G29">
        <v>1.6750000000000001E-3</v>
      </c>
      <c r="H29">
        <v>1.6930000000000001E-3</v>
      </c>
      <c r="I29" s="1">
        <f>AVERAGE(wOver[[#This Row],[W1]:[W5]])</f>
        <v>1.6539999999999999E-3</v>
      </c>
      <c r="J29">
        <f>_xlfn.STDEV.P(wOver[[#This Row],[W1]:[W5]])</f>
        <v>2.6290682760247977E-5</v>
      </c>
    </row>
    <row r="30" spans="1:10" x14ac:dyDescent="0.45">
      <c r="A30" t="s">
        <v>2</v>
      </c>
      <c r="B30">
        <v>0.56000000000000005</v>
      </c>
      <c r="C30" s="1">
        <v>1.225E-3</v>
      </c>
      <c r="D30">
        <v>1.4809999999999999E-3</v>
      </c>
      <c r="E30">
        <v>1.5349999999999999E-3</v>
      </c>
      <c r="F30">
        <v>1.5629999999999999E-3</v>
      </c>
      <c r="G30">
        <v>1.531E-3</v>
      </c>
      <c r="H30">
        <v>1.5920000000000001E-3</v>
      </c>
      <c r="I30" s="1">
        <f>AVERAGE(wOver[[#This Row],[W1]:[W5]])</f>
        <v>1.5404000000000001E-3</v>
      </c>
      <c r="J30">
        <f>_xlfn.STDEV.P(wOver[[#This Row],[W1]:[W5]])</f>
        <v>3.6930204440268182E-5</v>
      </c>
    </row>
    <row r="31" spans="1:10" x14ac:dyDescent="0.45">
      <c r="A31" t="s">
        <v>2</v>
      </c>
      <c r="B31">
        <v>1</v>
      </c>
      <c r="C31" s="1">
        <v>1.199E-3</v>
      </c>
      <c r="D31">
        <v>1.526E-3</v>
      </c>
      <c r="E31">
        <v>1.6440000000000001E-3</v>
      </c>
      <c r="F31">
        <v>1.6169999999999999E-3</v>
      </c>
      <c r="G31">
        <v>1.6230000000000001E-3</v>
      </c>
      <c r="H31">
        <v>1.598E-3</v>
      </c>
      <c r="I31" s="1">
        <f>AVERAGE(wOver[[#This Row],[W1]:[W5]])</f>
        <v>1.6015999999999999E-3</v>
      </c>
      <c r="J31">
        <f>_xlfn.STDEV.P(wOver[[#This Row],[W1]:[W5]])</f>
        <v>4.054922933916255E-5</v>
      </c>
    </row>
    <row r="32" spans="1:10" x14ac:dyDescent="0.45">
      <c r="A32" s="3" t="s">
        <v>3</v>
      </c>
      <c r="B32" s="3">
        <v>0</v>
      </c>
      <c r="C32" s="4">
        <v>9.1699999999999995E-4</v>
      </c>
      <c r="D32" s="3">
        <v>9.4200000000000002E-4</v>
      </c>
      <c r="E32" s="3">
        <v>9.8200000000000002E-4</v>
      </c>
      <c r="F32" s="3">
        <v>1.1100000000000001E-3</v>
      </c>
      <c r="G32" s="3">
        <v>9.4300000000000004E-4</v>
      </c>
      <c r="H32" s="3">
        <v>9.3000000000000005E-4</v>
      </c>
      <c r="I32" s="4">
        <f>AVERAGE(wOver[[#This Row],[W1]:[W5]])</f>
        <v>9.8140000000000011E-4</v>
      </c>
      <c r="J32" s="3">
        <f>_xlfn.STDEV.P(wOver[[#This Row],[W1]:[W5]])</f>
        <v>6.6644129523912328E-5</v>
      </c>
    </row>
    <row r="33" spans="1:10" x14ac:dyDescent="0.45">
      <c r="A33" t="s">
        <v>3</v>
      </c>
      <c r="B33">
        <v>0.01</v>
      </c>
      <c r="C33" s="1">
        <v>8.0500000000000005E-4</v>
      </c>
      <c r="D33">
        <v>1.4250000000000001E-3</v>
      </c>
      <c r="E33">
        <v>1.2310000000000001E-3</v>
      </c>
      <c r="F33">
        <v>1.7619999999999999E-3</v>
      </c>
      <c r="G33">
        <v>1.2179999999999999E-3</v>
      </c>
      <c r="H33">
        <v>1.1839999999999999E-3</v>
      </c>
      <c r="I33" s="1">
        <f>AVERAGE(wOver[[#This Row],[W1]:[W5]])</f>
        <v>1.3640000000000002E-3</v>
      </c>
      <c r="J33">
        <f>_xlfn.STDEV.P(wOver[[#This Row],[W1]:[W5]])</f>
        <v>2.1611570974827349E-4</v>
      </c>
    </row>
    <row r="34" spans="1:10" x14ac:dyDescent="0.45">
      <c r="A34" t="s">
        <v>3</v>
      </c>
      <c r="B34">
        <v>1.7999999999999999E-2</v>
      </c>
      <c r="C34" s="1">
        <v>8.1300000000000003E-4</v>
      </c>
      <c r="D34">
        <v>1.4139999999999999E-3</v>
      </c>
      <c r="E34">
        <v>1.2160000000000001E-3</v>
      </c>
      <c r="F34">
        <v>1.2099999999999999E-3</v>
      </c>
      <c r="G34">
        <v>1.2440000000000001E-3</v>
      </c>
      <c r="H34">
        <v>1.222E-3</v>
      </c>
      <c r="I34" s="1">
        <f>AVERAGE(wOver[[#This Row],[W1]:[W5]])</f>
        <v>1.2612000000000001E-3</v>
      </c>
      <c r="J34">
        <f>_xlfn.STDEV.P(wOver[[#This Row],[W1]:[W5]])</f>
        <v>7.7259044777941649E-5</v>
      </c>
    </row>
    <row r="35" spans="1:10" x14ac:dyDescent="0.45">
      <c r="A35" t="s">
        <v>3</v>
      </c>
      <c r="B35">
        <v>3.1E-2</v>
      </c>
      <c r="C35" s="1">
        <v>8.3100000000000003E-4</v>
      </c>
      <c r="D35">
        <v>1.3860000000000001E-3</v>
      </c>
      <c r="E35">
        <v>1.5070000000000001E-3</v>
      </c>
      <c r="F35">
        <v>1.3940000000000001E-3</v>
      </c>
      <c r="G35">
        <v>1.271E-3</v>
      </c>
      <c r="H35">
        <v>1.3060000000000001E-3</v>
      </c>
      <c r="I35" s="1">
        <f>AVERAGE(wOver[[#This Row],[W1]:[W5]])</f>
        <v>1.3728E-3</v>
      </c>
      <c r="J35">
        <f>_xlfn.STDEV.P(wOver[[#This Row],[W1]:[W5]])</f>
        <v>8.1803178422357187E-5</v>
      </c>
    </row>
    <row r="36" spans="1:10" x14ac:dyDescent="0.45">
      <c r="A36" t="s">
        <v>3</v>
      </c>
      <c r="B36">
        <v>5.6000000000000001E-2</v>
      </c>
      <c r="C36" s="1">
        <v>8.8000000000000003E-4</v>
      </c>
      <c r="D36">
        <v>1.4350000000000001E-3</v>
      </c>
      <c r="E36">
        <v>1.464E-3</v>
      </c>
      <c r="F36">
        <v>1.338E-3</v>
      </c>
      <c r="G36">
        <v>1.343E-3</v>
      </c>
      <c r="H36">
        <v>1.3619999999999999E-3</v>
      </c>
      <c r="I36" s="1">
        <f>AVERAGE(wOver[[#This Row],[W1]:[W5]])</f>
        <v>1.3884000000000001E-3</v>
      </c>
      <c r="J36">
        <f>_xlfn.STDEV.P(wOver[[#This Row],[W1]:[W5]])</f>
        <v>5.1352117775219386E-5</v>
      </c>
    </row>
    <row r="37" spans="1:10" x14ac:dyDescent="0.45">
      <c r="A37" t="s">
        <v>3</v>
      </c>
      <c r="B37">
        <v>0.1</v>
      </c>
      <c r="C37" s="1">
        <v>9.4600000000000001E-4</v>
      </c>
      <c r="D37">
        <v>1.5679999999999999E-3</v>
      </c>
      <c r="E37">
        <v>1.5709999999999999E-3</v>
      </c>
      <c r="F37">
        <v>1.5479999999999999E-3</v>
      </c>
      <c r="G37">
        <v>1.5820000000000001E-3</v>
      </c>
      <c r="H37">
        <v>1.5299999999999999E-3</v>
      </c>
      <c r="I37" s="1">
        <f>AVERAGE(wOver[[#This Row],[W1]:[W5]])</f>
        <v>1.5598000000000001E-3</v>
      </c>
      <c r="J37">
        <f>_xlfn.STDEV.P(wOver[[#This Row],[W1]:[W5]])</f>
        <v>1.8508376482014891E-5</v>
      </c>
    </row>
    <row r="38" spans="1:10" x14ac:dyDescent="0.45">
      <c r="A38" t="s">
        <v>3</v>
      </c>
      <c r="B38">
        <v>0.18</v>
      </c>
      <c r="C38" s="1">
        <v>9.9099999999999991E-4</v>
      </c>
      <c r="D38">
        <v>1.719E-3</v>
      </c>
      <c r="E38">
        <v>1.75E-3</v>
      </c>
      <c r="F38">
        <v>1.6750000000000001E-3</v>
      </c>
      <c r="G38">
        <v>1.707E-3</v>
      </c>
      <c r="H38">
        <v>1.645E-3</v>
      </c>
      <c r="I38" s="1">
        <f>AVERAGE(wOver[[#This Row],[W1]:[W5]])</f>
        <v>1.6992000000000001E-3</v>
      </c>
      <c r="J38">
        <f>_xlfn.STDEV.P(wOver[[#This Row],[W1]:[W5]])</f>
        <v>3.6212704952820096E-5</v>
      </c>
    </row>
    <row r="39" spans="1:10" x14ac:dyDescent="0.45">
      <c r="A39" t="s">
        <v>3</v>
      </c>
      <c r="B39">
        <v>0.31</v>
      </c>
      <c r="C39" s="1">
        <v>9.7499999999999996E-4</v>
      </c>
      <c r="D39">
        <v>1.885E-3</v>
      </c>
      <c r="E39">
        <v>1.8730000000000001E-3</v>
      </c>
      <c r="F39">
        <v>1.8649999999999999E-3</v>
      </c>
      <c r="G39">
        <v>1.8799999999999999E-3</v>
      </c>
      <c r="H39">
        <v>1.872E-3</v>
      </c>
      <c r="I39" s="1">
        <f>AVERAGE(wOver[[#This Row],[W1]:[W5]])</f>
        <v>1.8749999999999999E-3</v>
      </c>
      <c r="J39">
        <f>_xlfn.STDEV.P(wOver[[#This Row],[W1]:[W5]])</f>
        <v>6.8992753242641396E-6</v>
      </c>
    </row>
    <row r="40" spans="1:10" x14ac:dyDescent="0.45">
      <c r="A40" t="s">
        <v>3</v>
      </c>
      <c r="B40">
        <v>0.56000000000000005</v>
      </c>
      <c r="C40" s="1">
        <v>7.7800000000000005E-4</v>
      </c>
      <c r="D40">
        <v>1.908E-3</v>
      </c>
      <c r="E40">
        <v>1.9139999999999999E-3</v>
      </c>
      <c r="F40">
        <v>1.967E-3</v>
      </c>
      <c r="G40">
        <v>1.872E-3</v>
      </c>
      <c r="H40">
        <v>1.916E-3</v>
      </c>
      <c r="I40" s="1">
        <f>AVERAGE(wOver[[#This Row],[W1]:[W5]])</f>
        <v>1.9153999999999998E-3</v>
      </c>
      <c r="J40">
        <f>_xlfn.STDEV.P(wOver[[#This Row],[W1]:[W5]])</f>
        <v>3.0342050029620619E-5</v>
      </c>
    </row>
    <row r="41" spans="1:10" x14ac:dyDescent="0.45">
      <c r="A41" t="s">
        <v>3</v>
      </c>
      <c r="B41">
        <v>1</v>
      </c>
      <c r="C41" s="1">
        <v>7.2800000000000002E-4</v>
      </c>
      <c r="D41">
        <v>1.903E-3</v>
      </c>
      <c r="E41">
        <v>1.918E-3</v>
      </c>
      <c r="F41">
        <v>1.8979999999999999E-3</v>
      </c>
      <c r="G41">
        <v>1.977E-3</v>
      </c>
      <c r="H41">
        <v>1.8600000000000001E-3</v>
      </c>
      <c r="I41" s="1">
        <f>AVERAGE(wOver[[#This Row],[W1]:[W5]])</f>
        <v>1.9112000000000001E-3</v>
      </c>
      <c r="J41">
        <f>_xlfn.STDEV.P(wOver[[#This Row],[W1]:[W5]])</f>
        <v>3.8049441520211553E-5</v>
      </c>
    </row>
    <row r="42" spans="1:10" x14ac:dyDescent="0.45">
      <c r="A42" s="3" t="s">
        <v>4</v>
      </c>
      <c r="B42" s="3">
        <v>0</v>
      </c>
      <c r="C42" s="4">
        <v>2.7300000000000002E-4</v>
      </c>
      <c r="D42" s="3">
        <v>5.5000000000000003E-4</v>
      </c>
      <c r="E42" s="3">
        <v>4.86E-4</v>
      </c>
      <c r="F42" s="3">
        <v>4.75E-4</v>
      </c>
      <c r="G42" s="3">
        <v>3.9899999999999999E-4</v>
      </c>
      <c r="H42" s="3">
        <v>3.8299999999999999E-4</v>
      </c>
      <c r="I42" s="4">
        <f>AVERAGE(wOver[[#This Row],[W1]:[W5]])</f>
        <v>4.5859999999999998E-4</v>
      </c>
      <c r="J42" s="3">
        <f>_xlfn.STDEV.P(wOver[[#This Row],[W1]:[W5]])</f>
        <v>6.1059315423610854E-5</v>
      </c>
    </row>
    <row r="43" spans="1:10" x14ac:dyDescent="0.45">
      <c r="A43" t="s">
        <v>4</v>
      </c>
      <c r="B43">
        <v>0.01</v>
      </c>
      <c r="C43" s="1">
        <v>4.35E-4</v>
      </c>
      <c r="D43">
        <v>6.1200000000000002E-4</v>
      </c>
      <c r="E43">
        <v>6.3199999999999997E-4</v>
      </c>
      <c r="F43">
        <v>5.9800000000000001E-4</v>
      </c>
      <c r="G43">
        <v>6.3699999999999998E-4</v>
      </c>
      <c r="H43">
        <v>8.3500000000000002E-4</v>
      </c>
      <c r="I43" s="1">
        <f>AVERAGE(wOver[[#This Row],[W1]:[W5]])</f>
        <v>6.6280000000000006E-4</v>
      </c>
      <c r="J43">
        <f>_xlfn.STDEV.P(wOver[[#This Row],[W1]:[W5]])</f>
        <v>8.723164563390973E-5</v>
      </c>
    </row>
    <row r="44" spans="1:10" x14ac:dyDescent="0.45">
      <c r="A44" t="s">
        <v>4</v>
      </c>
      <c r="B44">
        <v>1.7999999999999999E-2</v>
      </c>
      <c r="C44" s="1">
        <v>3.2600000000000001E-4</v>
      </c>
      <c r="D44">
        <v>5.3499999999999999E-4</v>
      </c>
      <c r="E44">
        <v>5.8600000000000004E-4</v>
      </c>
      <c r="F44">
        <v>5.6700000000000001E-4</v>
      </c>
      <c r="G44">
        <v>5.5199999999999997E-4</v>
      </c>
      <c r="H44">
        <v>6.0400000000000004E-4</v>
      </c>
      <c r="I44" s="1">
        <f>AVERAGE(wOver[[#This Row],[W1]:[W5]])</f>
        <v>5.6879999999999995E-4</v>
      </c>
      <c r="J44">
        <f>_xlfn.STDEV.P(wOver[[#This Row],[W1]:[W5]])</f>
        <v>2.4342555330120974E-5</v>
      </c>
    </row>
    <row r="45" spans="1:10" x14ac:dyDescent="0.45">
      <c r="A45" t="s">
        <v>4</v>
      </c>
      <c r="B45">
        <v>3.1E-2</v>
      </c>
      <c r="C45" s="1">
        <v>3.9399999999999998E-4</v>
      </c>
      <c r="D45">
        <v>5.8500000000000002E-4</v>
      </c>
      <c r="E45">
        <v>5.8699999999999996E-4</v>
      </c>
      <c r="F45">
        <v>5.9900000000000003E-4</v>
      </c>
      <c r="G45">
        <v>5.6499999999999996E-4</v>
      </c>
      <c r="H45">
        <v>5.8200000000000005E-4</v>
      </c>
      <c r="I45" s="1">
        <f>AVERAGE(wOver[[#This Row],[W1]:[W5]])</f>
        <v>5.8359999999999998E-4</v>
      </c>
      <c r="J45">
        <f>_xlfn.STDEV.P(wOver[[#This Row],[W1]:[W5]])</f>
        <v>1.0947145746723225E-5</v>
      </c>
    </row>
    <row r="46" spans="1:10" x14ac:dyDescent="0.45">
      <c r="A46" t="s">
        <v>4</v>
      </c>
      <c r="B46">
        <v>5.6000000000000001E-2</v>
      </c>
      <c r="C46" s="1">
        <v>3.8400000000000001E-4</v>
      </c>
      <c r="D46">
        <v>5.8399999999999999E-4</v>
      </c>
      <c r="E46">
        <v>5.8299999999999997E-4</v>
      </c>
      <c r="F46">
        <v>6.0300000000000002E-4</v>
      </c>
      <c r="G46">
        <v>6.1200000000000002E-4</v>
      </c>
      <c r="H46">
        <v>5.7799999999999995E-4</v>
      </c>
      <c r="I46" s="1">
        <f>AVERAGE(wOver[[#This Row],[W1]:[W5]])</f>
        <v>5.9199999999999997E-4</v>
      </c>
      <c r="J46">
        <f>_xlfn.STDEV.P(wOver[[#This Row],[W1]:[W5]])</f>
        <v>1.3130118049735907E-5</v>
      </c>
    </row>
    <row r="47" spans="1:10" x14ac:dyDescent="0.45">
      <c r="A47" t="s">
        <v>4</v>
      </c>
      <c r="B47">
        <v>0.1</v>
      </c>
      <c r="C47" s="1">
        <v>4.3100000000000001E-4</v>
      </c>
      <c r="D47">
        <v>6.0499999999999996E-4</v>
      </c>
      <c r="E47">
        <v>5.9699999999999998E-4</v>
      </c>
      <c r="F47">
        <v>5.8200000000000005E-4</v>
      </c>
      <c r="G47">
        <v>5.8900000000000001E-4</v>
      </c>
      <c r="H47">
        <v>5.8399999999999999E-4</v>
      </c>
      <c r="I47" s="1">
        <f>AVERAGE(wOver[[#This Row],[W1]:[W5]])</f>
        <v>5.9139999999999996E-4</v>
      </c>
      <c r="J47">
        <f>_xlfn.STDEV.P(wOver[[#This Row],[W1]:[W5]])</f>
        <v>8.546344247688575E-6</v>
      </c>
    </row>
    <row r="48" spans="1:10" x14ac:dyDescent="0.45">
      <c r="A48" t="s">
        <v>4</v>
      </c>
      <c r="B48">
        <v>0.18</v>
      </c>
      <c r="C48" s="1">
        <v>4.1899999999999999E-4</v>
      </c>
      <c r="D48">
        <v>5.9800000000000001E-4</v>
      </c>
      <c r="E48">
        <v>6.1200000000000002E-4</v>
      </c>
      <c r="F48">
        <v>5.8900000000000001E-4</v>
      </c>
      <c r="G48">
        <v>6.0099999999999997E-4</v>
      </c>
      <c r="H48">
        <v>6.0499999999999996E-4</v>
      </c>
      <c r="I48" s="1">
        <f>AVERAGE(wOver[[#This Row],[W1]:[W5]])</f>
        <v>6.0100000000000008E-4</v>
      </c>
      <c r="J48">
        <f>_xlfn.STDEV.P(wOver[[#This Row],[W1]:[W5]])</f>
        <v>7.6157731058639085E-6</v>
      </c>
    </row>
    <row r="49" spans="1:10" x14ac:dyDescent="0.45">
      <c r="A49" t="s">
        <v>4</v>
      </c>
      <c r="B49">
        <v>0.31</v>
      </c>
      <c r="C49" s="1">
        <v>3.9899999999999999E-4</v>
      </c>
      <c r="D49">
        <v>6.0599999999999998E-4</v>
      </c>
      <c r="E49">
        <v>5.8399999999999999E-4</v>
      </c>
      <c r="F49">
        <v>5.9699999999999998E-4</v>
      </c>
      <c r="G49">
        <v>6.2E-4</v>
      </c>
      <c r="H49">
        <v>6.0800000000000003E-4</v>
      </c>
      <c r="I49" s="1">
        <f>AVERAGE(wOver[[#This Row],[W1]:[W5]])</f>
        <v>6.0300000000000002E-4</v>
      </c>
      <c r="J49">
        <f>_xlfn.STDEV.P(wOver[[#This Row],[W1]:[W5]])</f>
        <v>1.2000000000000005E-5</v>
      </c>
    </row>
    <row r="50" spans="1:10" x14ac:dyDescent="0.45">
      <c r="A50" t="s">
        <v>4</v>
      </c>
      <c r="B50">
        <v>0.56000000000000005</v>
      </c>
      <c r="C50" s="1">
        <v>3.7500000000000001E-4</v>
      </c>
      <c r="D50">
        <v>5.7899999999999998E-4</v>
      </c>
      <c r="E50">
        <v>6.0800000000000003E-4</v>
      </c>
      <c r="F50">
        <v>6.1399999999999996E-4</v>
      </c>
      <c r="G50">
        <v>6.0700000000000001E-4</v>
      </c>
      <c r="H50">
        <v>6.0700000000000001E-4</v>
      </c>
      <c r="I50" s="1">
        <f>AVERAGE(wOver[[#This Row],[W1]:[W5]])</f>
        <v>6.0300000000000002E-4</v>
      </c>
      <c r="J50">
        <f>_xlfn.STDEV.P(wOver[[#This Row],[W1]:[W5]])</f>
        <v>1.2280065146407006E-5</v>
      </c>
    </row>
    <row r="51" spans="1:10" x14ac:dyDescent="0.45">
      <c r="A51" t="s">
        <v>4</v>
      </c>
      <c r="B51">
        <v>1</v>
      </c>
      <c r="C51" s="1">
        <v>3.8099999999999999E-4</v>
      </c>
      <c r="D51">
        <v>6.02E-4</v>
      </c>
      <c r="E51">
        <v>6.1499999999999999E-4</v>
      </c>
      <c r="F51">
        <v>6.3199999999999997E-4</v>
      </c>
      <c r="G51">
        <v>6.2E-4</v>
      </c>
      <c r="H51">
        <v>5.9599999999999996E-4</v>
      </c>
      <c r="I51" s="1">
        <f>AVERAGE(wOver[[#This Row],[W1]:[W5]])</f>
        <v>6.1300000000000005E-4</v>
      </c>
      <c r="J51">
        <f>_xlfn.STDEV.P(wOver[[#This Row],[W1]:[W5]])</f>
        <v>1.2837445228704971E-5</v>
      </c>
    </row>
    <row r="52" spans="1:10" x14ac:dyDescent="0.45">
      <c r="A52" s="3" t="s">
        <v>5</v>
      </c>
      <c r="B52" s="3">
        <v>0</v>
      </c>
      <c r="C52" s="4">
        <v>4.3899999999999999E-4</v>
      </c>
      <c r="D52" s="3">
        <v>3.8099999999999999E-4</v>
      </c>
      <c r="E52" s="3">
        <v>4.3399999999999998E-4</v>
      </c>
      <c r="F52" s="3">
        <v>3.8400000000000001E-4</v>
      </c>
      <c r="G52" s="3">
        <v>4.95E-4</v>
      </c>
      <c r="H52" s="3">
        <v>4.0099999999999999E-4</v>
      </c>
      <c r="I52" s="4">
        <f>AVERAGE(wOver[[#This Row],[W1]:[W5]])</f>
        <v>4.1899999999999999E-4</v>
      </c>
      <c r="J52" s="3">
        <f>_xlfn.STDEV.P(wOver[[#This Row],[W1]:[W5]])</f>
        <v>4.2412262377760516E-5</v>
      </c>
    </row>
    <row r="53" spans="1:10" x14ac:dyDescent="0.45">
      <c r="A53" t="s">
        <v>5</v>
      </c>
      <c r="B53">
        <v>0.01</v>
      </c>
      <c r="C53" s="1">
        <v>3.6699999999999998E-4</v>
      </c>
      <c r="D53">
        <v>6.7299999999999999E-4</v>
      </c>
      <c r="E53">
        <v>6.4099999999999997E-4</v>
      </c>
      <c r="F53">
        <v>5.5999999999999995E-4</v>
      </c>
      <c r="G53">
        <v>5.9900000000000003E-4</v>
      </c>
      <c r="H53">
        <v>6.3199999999999997E-4</v>
      </c>
      <c r="I53" s="1">
        <f>AVERAGE(wOver[[#This Row],[W1]:[W5]])</f>
        <v>6.2100000000000002E-4</v>
      </c>
      <c r="J53">
        <f>_xlfn.STDEV.P(wOver[[#This Row],[W1]:[W5]])</f>
        <v>3.8548670534792775E-5</v>
      </c>
    </row>
    <row r="54" spans="1:10" x14ac:dyDescent="0.45">
      <c r="A54" t="s">
        <v>5</v>
      </c>
      <c r="B54">
        <v>1.7999999999999999E-2</v>
      </c>
      <c r="C54" s="1">
        <v>4.06E-4</v>
      </c>
      <c r="D54">
        <v>6.3599999999999996E-4</v>
      </c>
      <c r="E54">
        <v>6.2799999999999998E-4</v>
      </c>
      <c r="F54">
        <v>6.5799999999999995E-4</v>
      </c>
      <c r="G54">
        <v>6.69E-4</v>
      </c>
      <c r="H54">
        <v>6.7299999999999999E-4</v>
      </c>
      <c r="I54" s="1">
        <f>AVERAGE(wOver[[#This Row],[W1]:[W5]])</f>
        <v>6.5280000000000004E-4</v>
      </c>
      <c r="J54">
        <f>_xlfn.STDEV.P(wOver[[#This Row],[W1]:[W5]])</f>
        <v>1.785945127936467E-5</v>
      </c>
    </row>
    <row r="55" spans="1:10" x14ac:dyDescent="0.45">
      <c r="A55" t="s">
        <v>5</v>
      </c>
      <c r="B55">
        <v>3.1E-2</v>
      </c>
      <c r="C55" s="1">
        <v>4.2499999999999998E-4</v>
      </c>
      <c r="D55">
        <v>6.11E-4</v>
      </c>
      <c r="E55">
        <v>6.0700000000000001E-4</v>
      </c>
      <c r="F55">
        <v>5.9599999999999996E-4</v>
      </c>
      <c r="G55">
        <v>6.2100000000000002E-4</v>
      </c>
      <c r="H55">
        <v>6.7100000000000005E-4</v>
      </c>
      <c r="I55" s="1">
        <f>AVERAGE(wOver[[#This Row],[W1]:[W5]])</f>
        <v>6.2119999999999992E-4</v>
      </c>
      <c r="J55">
        <f>_xlfn.STDEV.P(wOver[[#This Row],[W1]:[W5]])</f>
        <v>2.6156452358834928E-5</v>
      </c>
    </row>
    <row r="56" spans="1:10" x14ac:dyDescent="0.45">
      <c r="A56" t="s">
        <v>5</v>
      </c>
      <c r="B56">
        <v>5.6000000000000001E-2</v>
      </c>
      <c r="C56" s="1">
        <v>4.35E-4</v>
      </c>
      <c r="D56">
        <v>6.5399999999999996E-4</v>
      </c>
      <c r="E56">
        <v>6.4000000000000005E-4</v>
      </c>
      <c r="F56">
        <v>6.96E-4</v>
      </c>
      <c r="G56">
        <v>6.6299999999999996E-4</v>
      </c>
      <c r="H56">
        <v>6.9499999999999998E-4</v>
      </c>
      <c r="I56" s="1">
        <f>AVERAGE(wOver[[#This Row],[W1]:[W5]])</f>
        <v>6.6960000000000001E-4</v>
      </c>
      <c r="J56">
        <f>_xlfn.STDEV.P(wOver[[#This Row],[W1]:[W5]])</f>
        <v>2.2383922801868298E-5</v>
      </c>
    </row>
    <row r="57" spans="1:10" x14ac:dyDescent="0.45">
      <c r="A57" t="s">
        <v>5</v>
      </c>
      <c r="B57">
        <v>0.1</v>
      </c>
      <c r="C57" s="1">
        <v>4.4799999999999999E-4</v>
      </c>
      <c r="D57">
        <v>6.7599999999999995E-4</v>
      </c>
      <c r="E57">
        <v>6.8199999999999999E-4</v>
      </c>
      <c r="F57">
        <v>6.6500000000000001E-4</v>
      </c>
      <c r="G57">
        <v>6.4599999999999998E-4</v>
      </c>
      <c r="H57">
        <v>6.4400000000000004E-4</v>
      </c>
      <c r="I57" s="1">
        <f>AVERAGE(wOver[[#This Row],[W1]:[W5]])</f>
        <v>6.6259999999999995E-4</v>
      </c>
      <c r="J57">
        <f>_xlfn.STDEV.P(wOver[[#This Row],[W1]:[W5]])</f>
        <v>1.5383107618423513E-5</v>
      </c>
    </row>
    <row r="58" spans="1:10" x14ac:dyDescent="0.45">
      <c r="A58" t="s">
        <v>5</v>
      </c>
      <c r="B58">
        <v>0.18</v>
      </c>
      <c r="C58" s="1">
        <v>4.3899999999999999E-4</v>
      </c>
      <c r="D58">
        <v>6.4499999999999996E-4</v>
      </c>
      <c r="E58">
        <v>6.4400000000000004E-4</v>
      </c>
      <c r="F58">
        <v>6.3400000000000001E-4</v>
      </c>
      <c r="G58">
        <v>6.3199999999999997E-4</v>
      </c>
      <c r="H58">
        <v>6.5200000000000002E-4</v>
      </c>
      <c r="I58" s="1">
        <f>AVERAGE(wOver[[#This Row],[W1]:[W5]])</f>
        <v>6.4139999999999998E-4</v>
      </c>
      <c r="J58">
        <f>_xlfn.STDEV.P(wOver[[#This Row],[W1]:[W5]])</f>
        <v>7.4188947963965728E-6</v>
      </c>
    </row>
    <row r="59" spans="1:10" x14ac:dyDescent="0.45">
      <c r="A59" t="s">
        <v>5</v>
      </c>
      <c r="B59">
        <v>0.31</v>
      </c>
      <c r="C59" s="1">
        <v>4.4099999999999999E-4</v>
      </c>
      <c r="D59">
        <v>6.4499999999999996E-4</v>
      </c>
      <c r="E59">
        <v>6.8999999999999997E-4</v>
      </c>
      <c r="F59">
        <v>6.7299999999999999E-4</v>
      </c>
      <c r="G59">
        <v>6.6E-4</v>
      </c>
      <c r="H59">
        <v>6.8800000000000003E-4</v>
      </c>
      <c r="I59" s="1">
        <f>AVERAGE(wOver[[#This Row],[W1]:[W5]])</f>
        <v>6.7119999999999994E-4</v>
      </c>
      <c r="J59">
        <f>_xlfn.STDEV.P(wOver[[#This Row],[W1]:[W5]])</f>
        <v>1.7034083479894079E-5</v>
      </c>
    </row>
    <row r="60" spans="1:10" x14ac:dyDescent="0.45">
      <c r="A60" t="s">
        <v>5</v>
      </c>
      <c r="B60">
        <v>0.56000000000000005</v>
      </c>
      <c r="C60" s="1">
        <v>4.1800000000000002E-4</v>
      </c>
      <c r="D60">
        <v>6.6600000000000003E-4</v>
      </c>
      <c r="E60">
        <v>7.1299999999999998E-4</v>
      </c>
      <c r="F60">
        <v>7.0699999999999995E-4</v>
      </c>
      <c r="G60">
        <v>6.8599999999999998E-4</v>
      </c>
      <c r="H60">
        <v>7.1400000000000001E-4</v>
      </c>
      <c r="I60" s="1">
        <f>AVERAGE(wOver[[#This Row],[W1]:[W5]])</f>
        <v>6.9720000000000003E-4</v>
      </c>
      <c r="J60">
        <f>_xlfn.STDEV.P(wOver[[#This Row],[W1]:[W5]])</f>
        <v>1.8583863968507716E-5</v>
      </c>
    </row>
    <row r="61" spans="1:10" x14ac:dyDescent="0.45">
      <c r="A61" t="s">
        <v>5</v>
      </c>
      <c r="B61">
        <v>1</v>
      </c>
      <c r="C61" s="1">
        <v>4.4799999999999999E-4</v>
      </c>
      <c r="D61">
        <v>6.87E-4</v>
      </c>
      <c r="E61">
        <v>6.9399999999999996E-4</v>
      </c>
      <c r="F61">
        <v>7.3399999999999995E-4</v>
      </c>
      <c r="G61">
        <v>7.1199999999999996E-4</v>
      </c>
      <c r="H61">
        <v>6.4899999999999995E-4</v>
      </c>
      <c r="I61" s="1">
        <f>AVERAGE(wOver[[#This Row],[W1]:[W5]])</f>
        <v>6.9519999999999988E-4</v>
      </c>
      <c r="J61">
        <f>_xlfn.STDEV.P(wOver[[#This Row],[W1]:[W5]])</f>
        <v>2.8251725611013567E-5</v>
      </c>
    </row>
    <row r="62" spans="1:10" x14ac:dyDescent="0.45">
      <c r="A62" s="3" t="s">
        <v>6</v>
      </c>
      <c r="B62" s="3">
        <v>0</v>
      </c>
      <c r="C62" s="4">
        <v>2.8899999999999998E-4</v>
      </c>
      <c r="D62" s="3">
        <v>3.4600000000000001E-4</v>
      </c>
      <c r="E62" s="3">
        <v>3.8699999999999997E-4</v>
      </c>
      <c r="F62" s="3">
        <v>6.0700000000000001E-4</v>
      </c>
      <c r="G62" s="3">
        <v>3.9300000000000001E-4</v>
      </c>
      <c r="H62" s="3">
        <v>3.4900000000000003E-4</v>
      </c>
      <c r="I62" s="4">
        <f>AVERAGE(wOver[[#This Row],[W1]:[W5]])</f>
        <v>4.1640000000000004E-4</v>
      </c>
      <c r="J62" s="3">
        <f>_xlfn.STDEV.P(wOver[[#This Row],[W1]:[W5]])</f>
        <v>9.7199999999999991E-5</v>
      </c>
    </row>
    <row r="63" spans="1:10" x14ac:dyDescent="0.45">
      <c r="A63" t="s">
        <v>6</v>
      </c>
      <c r="B63">
        <v>0.01</v>
      </c>
      <c r="C63" s="1">
        <v>3.2499999999999999E-4</v>
      </c>
      <c r="D63">
        <v>5.8900000000000001E-4</v>
      </c>
      <c r="E63">
        <v>5.7499999999999999E-4</v>
      </c>
      <c r="F63">
        <v>5.2099999999999998E-4</v>
      </c>
      <c r="G63">
        <v>4.8899999999999996E-4</v>
      </c>
      <c r="H63">
        <v>4.8899999999999996E-4</v>
      </c>
      <c r="I63" s="1">
        <f>AVERAGE(wOver[[#This Row],[W1]:[W5]])</f>
        <v>5.3260000000000004E-4</v>
      </c>
      <c r="J63">
        <f>_xlfn.STDEV.P(wOver[[#This Row],[W1]:[W5]])</f>
        <v>4.2226058305269289E-5</v>
      </c>
    </row>
    <row r="64" spans="1:10" x14ac:dyDescent="0.45">
      <c r="A64" t="s">
        <v>6</v>
      </c>
      <c r="B64">
        <v>1.7999999999999999E-2</v>
      </c>
      <c r="C64" s="1">
        <v>3.6499999999999998E-4</v>
      </c>
      <c r="D64">
        <v>5.1800000000000001E-4</v>
      </c>
      <c r="E64">
        <v>5.5800000000000001E-4</v>
      </c>
      <c r="F64">
        <v>5.3200000000000003E-4</v>
      </c>
      <c r="G64">
        <v>5.2099999999999998E-4</v>
      </c>
      <c r="H64">
        <v>5.9000000000000003E-4</v>
      </c>
      <c r="I64" s="1">
        <f>AVERAGE(wOver[[#This Row],[W1]:[W5]])</f>
        <v>5.4379999999999999E-4</v>
      </c>
      <c r="J64">
        <f>_xlfn.STDEV.P(wOver[[#This Row],[W1]:[W5]])</f>
        <v>2.7058455240460431E-5</v>
      </c>
    </row>
    <row r="65" spans="1:10" x14ac:dyDescent="0.45">
      <c r="A65" t="s">
        <v>6</v>
      </c>
      <c r="B65">
        <v>3.1E-2</v>
      </c>
      <c r="C65" s="1">
        <v>3.5799999999999997E-4</v>
      </c>
      <c r="D65">
        <v>5.3799999999999996E-4</v>
      </c>
      <c r="E65">
        <v>5.7700000000000004E-4</v>
      </c>
      <c r="F65">
        <v>5.6099999999999998E-4</v>
      </c>
      <c r="G65">
        <v>5.6800000000000004E-4</v>
      </c>
      <c r="H65">
        <v>5.4199999999999995E-4</v>
      </c>
      <c r="I65" s="1">
        <f>AVERAGE(wOver[[#This Row],[W1]:[W5]])</f>
        <v>5.5719999999999999E-4</v>
      </c>
      <c r="J65">
        <f>_xlfn.STDEV.P(wOver[[#This Row],[W1]:[W5]])</f>
        <v>1.498532615594339E-5</v>
      </c>
    </row>
    <row r="66" spans="1:10" x14ac:dyDescent="0.45">
      <c r="A66" t="s">
        <v>6</v>
      </c>
      <c r="B66">
        <v>5.6000000000000001E-2</v>
      </c>
      <c r="C66" s="1">
        <v>3.3700000000000001E-4</v>
      </c>
      <c r="D66">
        <v>5.4900000000000001E-4</v>
      </c>
      <c r="E66">
        <v>5.22E-4</v>
      </c>
      <c r="F66">
        <v>5.0699999999999996E-4</v>
      </c>
      <c r="G66">
        <v>5.13E-4</v>
      </c>
      <c r="H66">
        <v>5.3300000000000005E-4</v>
      </c>
      <c r="I66" s="1">
        <f>AVERAGE(wOver[[#This Row],[W1]:[W5]])</f>
        <v>5.2479999999999996E-4</v>
      </c>
      <c r="J66">
        <f>_xlfn.STDEV.P(wOver[[#This Row],[W1]:[W5]])</f>
        <v>1.4945233353815541E-5</v>
      </c>
    </row>
    <row r="67" spans="1:10" x14ac:dyDescent="0.45">
      <c r="A67" t="s">
        <v>6</v>
      </c>
      <c r="B67">
        <v>0.1</v>
      </c>
      <c r="C67" s="1">
        <v>3.5300000000000002E-4</v>
      </c>
      <c r="D67">
        <v>5.62E-4</v>
      </c>
      <c r="E67">
        <v>5.31E-4</v>
      </c>
      <c r="F67">
        <v>5.44E-4</v>
      </c>
      <c r="G67">
        <v>5.2999999999999998E-4</v>
      </c>
      <c r="H67">
        <v>5.6300000000000002E-4</v>
      </c>
      <c r="I67" s="1">
        <f>AVERAGE(wOver[[#This Row],[W1]:[W5]])</f>
        <v>5.4600000000000004E-4</v>
      </c>
      <c r="J67">
        <f>_xlfn.STDEV.P(wOver[[#This Row],[W1]:[W5]])</f>
        <v>1.4352700094407332E-5</v>
      </c>
    </row>
    <row r="68" spans="1:10" x14ac:dyDescent="0.45">
      <c r="A68" t="s">
        <v>6</v>
      </c>
      <c r="B68">
        <v>0.18</v>
      </c>
      <c r="C68" s="1">
        <v>3.4600000000000001E-4</v>
      </c>
      <c r="D68">
        <v>5.2700000000000002E-4</v>
      </c>
      <c r="E68">
        <v>5.44E-4</v>
      </c>
      <c r="F68">
        <v>5.4500000000000002E-4</v>
      </c>
      <c r="G68">
        <v>5.31E-4</v>
      </c>
      <c r="H68">
        <v>5.3300000000000005E-4</v>
      </c>
      <c r="I68" s="1">
        <f>AVERAGE(wOver[[#This Row],[W1]:[W5]])</f>
        <v>5.3599999999999991E-4</v>
      </c>
      <c r="J68">
        <f>_xlfn.STDEV.P(wOver[[#This Row],[W1]:[W5]])</f>
        <v>7.2111025509279733E-6</v>
      </c>
    </row>
    <row r="69" spans="1:10" x14ac:dyDescent="0.45">
      <c r="A69" t="s">
        <v>6</v>
      </c>
      <c r="B69">
        <v>0.31</v>
      </c>
      <c r="C69" s="1">
        <v>3.4200000000000002E-4</v>
      </c>
      <c r="D69">
        <v>5.3499999999999999E-4</v>
      </c>
      <c r="E69">
        <v>5.5199999999999997E-4</v>
      </c>
      <c r="F69">
        <v>5.4600000000000004E-4</v>
      </c>
      <c r="G69">
        <v>5.5199999999999997E-4</v>
      </c>
      <c r="H69">
        <v>5.5000000000000003E-4</v>
      </c>
      <c r="I69" s="1">
        <f>AVERAGE(wOver[[#This Row],[W1]:[W5]])</f>
        <v>5.4699999999999996E-4</v>
      </c>
      <c r="J69">
        <f>_xlfn.STDEV.P(wOver[[#This Row],[W1]:[W5]])</f>
        <v>6.3874877690685201E-6</v>
      </c>
    </row>
    <row r="70" spans="1:10" x14ac:dyDescent="0.45">
      <c r="A70" t="s">
        <v>6</v>
      </c>
      <c r="B70">
        <v>0.56000000000000005</v>
      </c>
      <c r="C70" s="1">
        <v>3.5599999999999998E-4</v>
      </c>
      <c r="D70">
        <v>6.1300000000000005E-4</v>
      </c>
      <c r="E70">
        <v>5.7600000000000001E-4</v>
      </c>
      <c r="F70">
        <v>5.5999999999999995E-4</v>
      </c>
      <c r="G70">
        <v>5.6300000000000002E-4</v>
      </c>
      <c r="H70">
        <v>5.8799999999999998E-4</v>
      </c>
      <c r="I70" s="1">
        <f>AVERAGE(wOver[[#This Row],[W1]:[W5]])</f>
        <v>5.8E-4</v>
      </c>
      <c r="J70">
        <f>_xlfn.STDEV.P(wOver[[#This Row],[W1]:[W5]])</f>
        <v>1.9276929216034402E-5</v>
      </c>
    </row>
    <row r="71" spans="1:10" x14ac:dyDescent="0.45">
      <c r="A71" t="s">
        <v>6</v>
      </c>
      <c r="B71">
        <v>1</v>
      </c>
      <c r="C71" s="1">
        <v>2.9999999999999997E-4</v>
      </c>
      <c r="D71">
        <v>5.2999999999999998E-4</v>
      </c>
      <c r="E71">
        <v>5.9500000000000004E-4</v>
      </c>
      <c r="F71">
        <v>5.5900000000000004E-4</v>
      </c>
      <c r="G71">
        <v>5.7799999999999995E-4</v>
      </c>
      <c r="H71">
        <v>6.1799999999999995E-4</v>
      </c>
      <c r="I71" s="1">
        <f>AVERAGE(wOver[[#This Row],[W1]:[W5]])</f>
        <v>5.7600000000000001E-4</v>
      </c>
      <c r="J71">
        <f>_xlfn.STDEV.P(wOver[[#This Row],[W1]:[W5]])</f>
        <v>3.0113120064184643E-5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9DDAD-EE7E-4C0C-AFF1-9EB0AC33A1F6}">
  <dimension ref="A1:L71"/>
  <sheetViews>
    <sheetView zoomScale="58" workbookViewId="0">
      <selection activeCell="C2" sqref="C2"/>
    </sheetView>
  </sheetViews>
  <sheetFormatPr baseColWidth="10" defaultColWidth="9.06640625" defaultRowHeight="14.25" x14ac:dyDescent="0.45"/>
  <cols>
    <col min="1" max="2" width="11" customWidth="1"/>
    <col min="3" max="5" width="12.33203125" bestFit="1" customWidth="1"/>
    <col min="6" max="6" width="11.33203125" bestFit="1" customWidth="1"/>
    <col min="7" max="8" width="12.33203125" bestFit="1" customWidth="1"/>
    <col min="9" max="9" width="10" customWidth="1"/>
    <col min="10" max="10" width="12.33203125" bestFit="1" customWidth="1"/>
    <col min="11" max="12" width="9.1328125" bestFit="1" customWidth="1"/>
  </cols>
  <sheetData>
    <row r="1" spans="1:12" x14ac:dyDescent="0.45">
      <c r="A1" t="s">
        <v>7</v>
      </c>
      <c r="B1" t="s">
        <v>8</v>
      </c>
      <c r="C1" t="s">
        <v>20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16</v>
      </c>
      <c r="J1" t="s">
        <v>15</v>
      </c>
      <c r="K1" t="s">
        <v>17</v>
      </c>
      <c r="L1" t="s">
        <v>18</v>
      </c>
    </row>
    <row r="2" spans="1:12" x14ac:dyDescent="0.45">
      <c r="A2" t="str">
        <f>wTask[[#This Row],[Heuristic]]</f>
        <v>FCFS</v>
      </c>
      <c r="B2">
        <f>wTask[[#This Row],[Variance]]</f>
        <v>0</v>
      </c>
      <c r="C2" s="1">
        <f>wOver[[#This Row],[W0]]/wTask[[#This Row],[W0]]</f>
        <v>6.3262218234785429E-7</v>
      </c>
      <c r="D2">
        <f>wOver[[#This Row],[W1]]/wTask[[#This Row],[W1]]</f>
        <v>7.2974096330295057E-7</v>
      </c>
      <c r="E2">
        <f>wOver[[#This Row],[W2]]/wTask[[#This Row],[W2]]</f>
        <v>7.0056396621618574E-7</v>
      </c>
      <c r="F2">
        <f>wOver[[#This Row],[W3]]/wTask[[#This Row],[W3]]</f>
        <v>6.5308941090844396E-7</v>
      </c>
      <c r="G2">
        <f>wOver[[#This Row],[W4]]/wTask[[#This Row],[W4]]</f>
        <v>7.0417362723750308E-7</v>
      </c>
      <c r="H2">
        <f>wOver[[#This Row],[W5]]/wTask[[#This Row],[W5]]</f>
        <v>1.1985732884110741E-6</v>
      </c>
      <c r="I2" s="1">
        <f>AVERAGE(Table3[[#This Row],[W1]:[W5]])</f>
        <v>7.9722825121523145E-7</v>
      </c>
      <c r="J2">
        <f>_xlfn.STDEV.P(Table3[[#This Row],[W1]:[W5]])</f>
        <v>2.0219373147280614E-7</v>
      </c>
      <c r="K2" s="1">
        <f>wTask[[#This Row],[Average]]</f>
        <v>548.14906880000001</v>
      </c>
      <c r="L2">
        <f>wOver[[#This Row],[Mean]]</f>
        <v>4.3700000000000005E-4</v>
      </c>
    </row>
    <row r="3" spans="1:12" x14ac:dyDescent="0.45">
      <c r="A3" t="str">
        <f>wTask[[#This Row],[Heuristic]]</f>
        <v>FCFS</v>
      </c>
      <c r="B3">
        <f>wTask[[#This Row],[Variance]]</f>
        <v>0.01</v>
      </c>
      <c r="C3" s="1">
        <f>wOver[[#This Row],[W0]]/wTask[[#This Row],[W0]]</f>
        <v>8.4848225739012645E-7</v>
      </c>
      <c r="D3">
        <f>wOver[[#This Row],[W1]]/wTask[[#This Row],[W1]]</f>
        <v>1.0296763174608323E-6</v>
      </c>
      <c r="E3">
        <f>wOver[[#This Row],[W2]]/wTask[[#This Row],[W2]]</f>
        <v>9.909577658256798E-7</v>
      </c>
      <c r="F3">
        <f>wOver[[#This Row],[W3]]/wTask[[#This Row],[W3]]</f>
        <v>1.165878669972203E-6</v>
      </c>
      <c r="G3">
        <f>wOver[[#This Row],[W4]]/wTask[[#This Row],[W4]]</f>
        <v>1.1199665772977434E-6</v>
      </c>
      <c r="H3">
        <f>wOver[[#This Row],[W5]]/wTask[[#This Row],[W5]]</f>
        <v>9.458667537245809E-7</v>
      </c>
      <c r="I3" s="1">
        <f>AVERAGE(Table3[[#This Row],[W1]:[W5]])</f>
        <v>1.0504692168562081E-6</v>
      </c>
      <c r="J3">
        <f>_xlfn.STDEV.P(Table3[[#This Row],[W1]:[W5]])</f>
        <v>8.132017921660319E-8</v>
      </c>
      <c r="K3" s="1">
        <f>wTask[[#This Row],[Average]]</f>
        <v>551.93418760000009</v>
      </c>
      <c r="L3">
        <f>wOver[[#This Row],[Mean]]</f>
        <v>5.798E-4</v>
      </c>
    </row>
    <row r="4" spans="1:12" x14ac:dyDescent="0.45">
      <c r="A4" t="str">
        <f>wTask[[#This Row],[Heuristic]]</f>
        <v>FCFS</v>
      </c>
      <c r="B4">
        <f>wTask[[#This Row],[Variance]]</f>
        <v>1.7999999999999999E-2</v>
      </c>
      <c r="C4" s="1">
        <f>wOver[[#This Row],[W0]]/wTask[[#This Row],[W0]]</f>
        <v>1.0802617693435614E-6</v>
      </c>
      <c r="D4">
        <f>wOver[[#This Row],[W1]]/wTask[[#This Row],[W1]]</f>
        <v>9.5711874812848764E-7</v>
      </c>
      <c r="E4">
        <f>wOver[[#This Row],[W2]]/wTask[[#This Row],[W2]]</f>
        <v>9.7149331047921907E-7</v>
      </c>
      <c r="F4">
        <f>wOver[[#This Row],[W3]]/wTask[[#This Row],[W3]]</f>
        <v>1.0281925631600784E-6</v>
      </c>
      <c r="G4">
        <f>wOver[[#This Row],[W4]]/wTask[[#This Row],[W4]]</f>
        <v>1.0858339245689991E-6</v>
      </c>
      <c r="H4">
        <f>wOver[[#This Row],[W5]]/wTask[[#This Row],[W5]]</f>
        <v>1.2666000893511965E-6</v>
      </c>
      <c r="I4" s="1">
        <f>AVERAGE(Table3[[#This Row],[W1]:[W5]])</f>
        <v>1.0618477271375962E-6</v>
      </c>
      <c r="J4">
        <f>_xlfn.STDEV.P(Table3[[#This Row],[W1]:[W5]])</f>
        <v>1.1203893717416918E-7</v>
      </c>
      <c r="K4" s="1">
        <f>wTask[[#This Row],[Average]]</f>
        <v>551.30465579999998</v>
      </c>
      <c r="L4">
        <f>wOver[[#This Row],[Mean]]</f>
        <v>5.8540000000000003E-4</v>
      </c>
    </row>
    <row r="5" spans="1:12" x14ac:dyDescent="0.45">
      <c r="A5" t="str">
        <f>wTask[[#This Row],[Heuristic]]</f>
        <v>FCFS</v>
      </c>
      <c r="B5">
        <f>wTask[[#This Row],[Variance]]</f>
        <v>3.1E-2</v>
      </c>
      <c r="C5" s="1">
        <f>wOver[[#This Row],[W0]]/wTask[[#This Row],[W0]]</f>
        <v>1.0212919275483364E-6</v>
      </c>
      <c r="D5">
        <f>wOver[[#This Row],[W1]]/wTask[[#This Row],[W1]]</f>
        <v>1.106412006003885E-6</v>
      </c>
      <c r="E5">
        <f>wOver[[#This Row],[W2]]/wTask[[#This Row],[W2]]</f>
        <v>1.0933674874017322E-6</v>
      </c>
      <c r="F5">
        <f>wOver[[#This Row],[W3]]/wTask[[#This Row],[W3]]</f>
        <v>1.0842428107381195E-6</v>
      </c>
      <c r="G5">
        <f>wOver[[#This Row],[W4]]/wTask[[#This Row],[W4]]</f>
        <v>1.078125628982116E-6</v>
      </c>
      <c r="H5">
        <f>wOver[[#This Row],[W5]]/wTask[[#This Row],[W5]]</f>
        <v>1.0579435232936628E-6</v>
      </c>
      <c r="I5" s="1">
        <f>AVERAGE(Table3[[#This Row],[W1]:[W5]])</f>
        <v>1.0840182912839031E-6</v>
      </c>
      <c r="J5">
        <f>_xlfn.STDEV.P(Table3[[#This Row],[W1]:[W5]])</f>
        <v>1.6146537280436615E-8</v>
      </c>
      <c r="K5" s="1">
        <f>wTask[[#This Row],[Average]]</f>
        <v>551.65478120000012</v>
      </c>
      <c r="L5">
        <f>wOver[[#This Row],[Mean]]</f>
        <v>5.9800000000000001E-4</v>
      </c>
    </row>
    <row r="6" spans="1:12" x14ac:dyDescent="0.45">
      <c r="A6" t="str">
        <f>wTask[[#This Row],[Heuristic]]</f>
        <v>FCFS</v>
      </c>
      <c r="B6">
        <f>wTask[[#This Row],[Variance]]</f>
        <v>5.6000000000000001E-2</v>
      </c>
      <c r="C6" s="1">
        <f>wOver[[#This Row],[W0]]/wTask[[#This Row],[W0]]</f>
        <v>1.0238757797340682E-6</v>
      </c>
      <c r="D6">
        <f>wOver[[#This Row],[W1]]/wTask[[#This Row],[W1]]</f>
        <v>1.0288883971233826E-6</v>
      </c>
      <c r="E6">
        <f>wOver[[#This Row],[W2]]/wTask[[#This Row],[W2]]</f>
        <v>1.0479167474889077E-6</v>
      </c>
      <c r="F6">
        <f>wOver[[#This Row],[W3]]/wTask[[#This Row],[W3]]</f>
        <v>1.0884061426703993E-6</v>
      </c>
      <c r="G6">
        <f>wOver[[#This Row],[W4]]/wTask[[#This Row],[W4]]</f>
        <v>1.1108081335542333E-6</v>
      </c>
      <c r="H6">
        <f>wOver[[#This Row],[W5]]/wTask[[#This Row],[W5]]</f>
        <v>1.1349740113287695E-6</v>
      </c>
      <c r="I6" s="1">
        <f>AVERAGE(Table3[[#This Row],[W1]:[W5]])</f>
        <v>1.0821986864331384E-6</v>
      </c>
      <c r="J6">
        <f>_xlfn.STDEV.P(Table3[[#This Row],[W1]:[W5]])</f>
        <v>3.9139509908575718E-8</v>
      </c>
      <c r="K6" s="1">
        <f>wTask[[#This Row],[Average]]</f>
        <v>551.10783019999997</v>
      </c>
      <c r="L6">
        <f>wOver[[#This Row],[Mean]]</f>
        <v>5.9640000000000008E-4</v>
      </c>
    </row>
    <row r="7" spans="1:12" x14ac:dyDescent="0.45">
      <c r="A7" t="str">
        <f>wTask[[#This Row],[Heuristic]]</f>
        <v>FCFS</v>
      </c>
      <c r="B7">
        <f>wTask[[#This Row],[Variance]]</f>
        <v>0.1</v>
      </c>
      <c r="C7" s="1">
        <f>wOver[[#This Row],[W0]]/wTask[[#This Row],[W0]]</f>
        <v>9.9551288052017941E-7</v>
      </c>
      <c r="D7">
        <f>wOver[[#This Row],[W1]]/wTask[[#This Row],[W1]]</f>
        <v>1.0585342604631668E-6</v>
      </c>
      <c r="E7">
        <f>wOver[[#This Row],[W2]]/wTask[[#This Row],[W2]]</f>
        <v>1.1825279540113908E-6</v>
      </c>
      <c r="F7">
        <f>wOver[[#This Row],[W3]]/wTask[[#This Row],[W3]]</f>
        <v>1.0996060365326343E-6</v>
      </c>
      <c r="G7">
        <f>wOver[[#This Row],[W4]]/wTask[[#This Row],[W4]]</f>
        <v>1.0817666965141277E-6</v>
      </c>
      <c r="H7">
        <f>wOver[[#This Row],[W5]]/wTask[[#This Row],[W5]]</f>
        <v>1.0794850886352791E-6</v>
      </c>
      <c r="I7" s="1">
        <f>AVERAGE(Table3[[#This Row],[W1]:[W5]])</f>
        <v>1.1003840072313198E-6</v>
      </c>
      <c r="J7">
        <f>_xlfn.STDEV.P(Table3[[#This Row],[W1]:[W5]])</f>
        <v>4.3088289806856095E-8</v>
      </c>
      <c r="K7" s="1">
        <f>wTask[[#This Row],[Average]]</f>
        <v>555.62425180000002</v>
      </c>
      <c r="L7">
        <f>wOver[[#This Row],[Mean]]</f>
        <v>6.1140000000000001E-4</v>
      </c>
    </row>
    <row r="8" spans="1:12" x14ac:dyDescent="0.45">
      <c r="A8" t="str">
        <f>wTask[[#This Row],[Heuristic]]</f>
        <v>FCFS</v>
      </c>
      <c r="B8">
        <f>wTask[[#This Row],[Variance]]</f>
        <v>0.18</v>
      </c>
      <c r="C8" s="1">
        <f>wOver[[#This Row],[W0]]/wTask[[#This Row],[W0]]</f>
        <v>1.01829227670785E-6</v>
      </c>
      <c r="D8">
        <f>wOver[[#This Row],[W1]]/wTask[[#This Row],[W1]]</f>
        <v>1.0906728257724307E-6</v>
      </c>
      <c r="E8">
        <f>wOver[[#This Row],[W2]]/wTask[[#This Row],[W2]]</f>
        <v>1.0966735410029886E-6</v>
      </c>
      <c r="F8">
        <f>wOver[[#This Row],[W3]]/wTask[[#This Row],[W3]]</f>
        <v>1.0871990386953645E-6</v>
      </c>
      <c r="G8">
        <f>wOver[[#This Row],[W4]]/wTask[[#This Row],[W4]]</f>
        <v>1.0875814844361211E-6</v>
      </c>
      <c r="H8">
        <f>wOver[[#This Row],[W5]]/wTask[[#This Row],[W5]]</f>
        <v>1.0624568342080138E-6</v>
      </c>
      <c r="I8" s="1">
        <f>AVERAGE(Table3[[#This Row],[W1]:[W5]])</f>
        <v>1.0849167448229837E-6</v>
      </c>
      <c r="J8">
        <f>_xlfn.STDEV.P(Table3[[#This Row],[W1]:[W5]])</f>
        <v>1.1731257491615572E-8</v>
      </c>
      <c r="K8" s="1">
        <f>wTask[[#This Row],[Average]]</f>
        <v>555.43868799999996</v>
      </c>
      <c r="L8">
        <f>wOver[[#This Row],[Mean]]</f>
        <v>6.025999999999999E-4</v>
      </c>
    </row>
    <row r="9" spans="1:12" x14ac:dyDescent="0.45">
      <c r="A9" t="str">
        <f>wTask[[#This Row],[Heuristic]]</f>
        <v>FCFS</v>
      </c>
      <c r="B9">
        <f>wTask[[#This Row],[Variance]]</f>
        <v>0.31</v>
      </c>
      <c r="C9" s="1">
        <f>wOver[[#This Row],[W0]]/wTask[[#This Row],[W0]]</f>
        <v>1.0179764616440897E-6</v>
      </c>
      <c r="D9">
        <f>wOver[[#This Row],[W1]]/wTask[[#This Row],[W1]]</f>
        <v>1.0798903625294862E-6</v>
      </c>
      <c r="E9">
        <f>wOver[[#This Row],[W2]]/wTask[[#This Row],[W2]]</f>
        <v>1.0433709685048022E-6</v>
      </c>
      <c r="F9">
        <f>wOver[[#This Row],[W3]]/wTask[[#This Row],[W3]]</f>
        <v>1.0540499067354619E-6</v>
      </c>
      <c r="G9">
        <f>wOver[[#This Row],[W4]]/wTask[[#This Row],[W4]]</f>
        <v>1.0884184882782658E-6</v>
      </c>
      <c r="H9">
        <f>wOver[[#This Row],[W5]]/wTask[[#This Row],[W5]]</f>
        <v>1.0092639006379758E-6</v>
      </c>
      <c r="I9" s="1">
        <f>AVERAGE(Table3[[#This Row],[W1]:[W5]])</f>
        <v>1.0549987253371983E-6</v>
      </c>
      <c r="J9">
        <f>_xlfn.STDEV.P(Table3[[#This Row],[W1]:[W5]])</f>
        <v>2.8157604063948985E-8</v>
      </c>
      <c r="K9" s="1">
        <f>wTask[[#This Row],[Average]]</f>
        <v>572.14040980000004</v>
      </c>
      <c r="L9">
        <f>wOver[[#This Row],[Mean]]</f>
        <v>6.0359999999999993E-4</v>
      </c>
    </row>
    <row r="10" spans="1:12" x14ac:dyDescent="0.45">
      <c r="A10" t="str">
        <f>wTask[[#This Row],[Heuristic]]</f>
        <v>FCFS</v>
      </c>
      <c r="B10">
        <f>wTask[[#This Row],[Variance]]</f>
        <v>0.56000000000000005</v>
      </c>
      <c r="C10" s="1">
        <f>wOver[[#This Row],[W0]]/wTask[[#This Row],[W0]]</f>
        <v>1.0500414370997529E-6</v>
      </c>
      <c r="D10">
        <f>wOver[[#This Row],[W1]]/wTask[[#This Row],[W1]]</f>
        <v>1.049193927147076E-6</v>
      </c>
      <c r="E10">
        <f>wOver[[#This Row],[W2]]/wTask[[#This Row],[W2]]</f>
        <v>1.0134017616986258E-6</v>
      </c>
      <c r="F10">
        <f>wOver[[#This Row],[W3]]/wTask[[#This Row],[W3]]</f>
        <v>1.0068692803657382E-6</v>
      </c>
      <c r="G10">
        <f>wOver[[#This Row],[W4]]/wTask[[#This Row],[W4]]</f>
        <v>1.0040692701833648E-6</v>
      </c>
      <c r="H10">
        <f>wOver[[#This Row],[W5]]/wTask[[#This Row],[W5]]</f>
        <v>1.0597751277052467E-6</v>
      </c>
      <c r="I10" s="1">
        <f>AVERAGE(Table3[[#This Row],[W1]:[W5]])</f>
        <v>1.0266618734200103E-6</v>
      </c>
      <c r="J10">
        <f>_xlfn.STDEV.P(Table3[[#This Row],[W1]:[W5]])</f>
        <v>2.3161105665326961E-8</v>
      </c>
      <c r="K10" s="1">
        <f>wTask[[#This Row],[Average]]</f>
        <v>597.66906540000002</v>
      </c>
      <c r="L10">
        <f>wOver[[#This Row],[Mean]]</f>
        <v>6.1359999999999995E-4</v>
      </c>
    </row>
    <row r="11" spans="1:12" x14ac:dyDescent="0.45">
      <c r="A11" t="str">
        <f>wTask[[#This Row],[Heuristic]]</f>
        <v>FCFS</v>
      </c>
      <c r="B11">
        <f>wTask[[#This Row],[Variance]]</f>
        <v>1</v>
      </c>
      <c r="C11" s="1">
        <f>wOver[[#This Row],[W0]]/wTask[[#This Row],[W0]]</f>
        <v>9.7210608704825794E-7</v>
      </c>
      <c r="D11">
        <f>wOver[[#This Row],[W1]]/wTask[[#This Row],[W1]]</f>
        <v>9.9138178453320167E-7</v>
      </c>
      <c r="E11">
        <f>wOver[[#This Row],[W2]]/wTask[[#This Row],[W2]]</f>
        <v>1.0379975854792166E-6</v>
      </c>
      <c r="F11">
        <f>wOver[[#This Row],[W3]]/wTask[[#This Row],[W3]]</f>
        <v>9.7243913337819912E-7</v>
      </c>
      <c r="G11">
        <f>wOver[[#This Row],[W4]]/wTask[[#This Row],[W4]]</f>
        <v>1.0197377271467435E-6</v>
      </c>
      <c r="H11">
        <f>wOver[[#This Row],[W5]]/wTask[[#This Row],[W5]]</f>
        <v>1.040295801644494E-6</v>
      </c>
      <c r="I11" s="1">
        <f>AVERAGE(Table3[[#This Row],[W1]:[W5]])</f>
        <v>1.0123704064363709E-6</v>
      </c>
      <c r="J11">
        <f>_xlfn.STDEV.P(Table3[[#This Row],[W1]:[W5]])</f>
        <v>2.6555173639477063E-8</v>
      </c>
      <c r="K11" s="1">
        <f>wTask[[#This Row],[Average]]</f>
        <v>606.30774540000004</v>
      </c>
      <c r="L11">
        <f>wOver[[#This Row],[Mean]]</f>
        <v>6.1379999999999996E-4</v>
      </c>
    </row>
    <row r="12" spans="1:12" x14ac:dyDescent="0.45">
      <c r="A12" s="3" t="str">
        <f>wTask[[#This Row],[Heuristic]]</f>
        <v>LCFS</v>
      </c>
      <c r="B12" s="3">
        <f>wTask[[#This Row],[Variance]]</f>
        <v>0</v>
      </c>
      <c r="C12" s="4">
        <f>wOver[[#This Row],[W0]]/wTask[[#This Row],[W0]]</f>
        <v>7.6097735240186219E-7</v>
      </c>
      <c r="D12" s="3">
        <f>wOver[[#This Row],[W1]]/wTask[[#This Row],[W1]]</f>
        <v>6.643392393831891E-7</v>
      </c>
      <c r="E12" s="3">
        <f>wOver[[#This Row],[W2]]/wTask[[#This Row],[W2]]</f>
        <v>6.5524326479543394E-7</v>
      </c>
      <c r="F12" s="3">
        <f>wOver[[#This Row],[W3]]/wTask[[#This Row],[W3]]</f>
        <v>6.9839558403049893E-7</v>
      </c>
      <c r="G12" s="3">
        <f>wOver[[#This Row],[W4]]/wTask[[#This Row],[W4]]</f>
        <v>1.3124339554245403E-6</v>
      </c>
      <c r="H12" s="3">
        <f>wOver[[#This Row],[W5]]/wTask[[#This Row],[W5]]</f>
        <v>6.8792849573667783E-7</v>
      </c>
      <c r="I12" s="4">
        <f>AVERAGE(Table3[[#This Row],[W1]:[W5]])</f>
        <v>8.0366810787406797E-7</v>
      </c>
      <c r="J12" s="3">
        <f>_xlfn.STDEV.P(Table3[[#This Row],[W1]:[W5]])</f>
        <v>2.5485804572966673E-7</v>
      </c>
      <c r="K12" s="4">
        <f>wTask[[#This Row],[Average]]</f>
        <v>549.21377139999993</v>
      </c>
      <c r="L12" s="3">
        <f>wOver[[#This Row],[Mean]]</f>
        <v>4.4139999999999994E-4</v>
      </c>
    </row>
    <row r="13" spans="1:12" x14ac:dyDescent="0.45">
      <c r="A13" t="str">
        <f>wTask[[#This Row],[Heuristic]]</f>
        <v>LCFS</v>
      </c>
      <c r="B13">
        <f>wTask[[#This Row],[Variance]]</f>
        <v>0.01</v>
      </c>
      <c r="C13" s="1">
        <f>wOver[[#This Row],[W0]]/wTask[[#This Row],[W0]]</f>
        <v>9.6393968338655985E-7</v>
      </c>
      <c r="D13">
        <f>wOver[[#This Row],[W1]]/wTask[[#This Row],[W1]]</f>
        <v>9.6355195081072737E-7</v>
      </c>
      <c r="E13">
        <f>wOver[[#This Row],[W2]]/wTask[[#This Row],[W2]]</f>
        <v>1.2068814317558559E-6</v>
      </c>
      <c r="F13">
        <f>wOver[[#This Row],[W3]]/wTask[[#This Row],[W3]]</f>
        <v>8.3221224229344122E-7</v>
      </c>
      <c r="G13">
        <f>wOver[[#This Row],[W4]]/wTask[[#This Row],[W4]]</f>
        <v>8.1095965640259828E-7</v>
      </c>
      <c r="H13">
        <f>wOver[[#This Row],[W5]]/wTask[[#This Row],[W5]]</f>
        <v>1.0811057662967278E-6</v>
      </c>
      <c r="I13" s="1">
        <f>AVERAGE(Table3[[#This Row],[W1]:[W5]])</f>
        <v>9.7894220951187024E-7</v>
      </c>
      <c r="J13">
        <f>_xlfn.STDEV.P(Table3[[#This Row],[W1]:[W5]])</f>
        <v>1.499188866447751E-7</v>
      </c>
      <c r="K13" s="1">
        <f>wTask[[#This Row],[Average]]</f>
        <v>550.98390319999999</v>
      </c>
      <c r="L13">
        <f>wOver[[#This Row],[Mean]]</f>
        <v>5.3939999999999999E-4</v>
      </c>
    </row>
    <row r="14" spans="1:12" x14ac:dyDescent="0.45">
      <c r="A14" t="str">
        <f>wTask[[#This Row],[Heuristic]]</f>
        <v>LCFS</v>
      </c>
      <c r="B14">
        <f>wTask[[#This Row],[Variance]]</f>
        <v>1.7999999999999999E-2</v>
      </c>
      <c r="C14" s="1">
        <f>wOver[[#This Row],[W0]]/wTask[[#This Row],[W0]]</f>
        <v>9.672337684449567E-7</v>
      </c>
      <c r="D14">
        <f>wOver[[#This Row],[W1]]/wTask[[#This Row],[W1]]</f>
        <v>1.1279856863041306E-6</v>
      </c>
      <c r="E14">
        <f>wOver[[#This Row],[W2]]/wTask[[#This Row],[W2]]</f>
        <v>1.0497822431970732E-6</v>
      </c>
      <c r="F14">
        <f>wOver[[#This Row],[W3]]/wTask[[#This Row],[W3]]</f>
        <v>1.0323871609632851E-6</v>
      </c>
      <c r="G14">
        <f>wOver[[#This Row],[W4]]/wTask[[#This Row],[W4]]</f>
        <v>1.1458050988541171E-6</v>
      </c>
      <c r="H14">
        <f>wOver[[#This Row],[W5]]/wTask[[#This Row],[W5]]</f>
        <v>1.1006832684507143E-6</v>
      </c>
      <c r="I14" s="1">
        <f>AVERAGE(Table3[[#This Row],[W1]:[W5]])</f>
        <v>1.0913286915538641E-6</v>
      </c>
      <c r="J14">
        <f>_xlfn.STDEV.P(Table3[[#This Row],[W1]:[W5]])</f>
        <v>4.3815827562210563E-8</v>
      </c>
      <c r="K14" s="1">
        <f>wTask[[#This Row],[Average]]</f>
        <v>551.06914899999992</v>
      </c>
      <c r="L14">
        <f>wOver[[#This Row],[Mean]]</f>
        <v>6.0139999999999998E-4</v>
      </c>
    </row>
    <row r="15" spans="1:12" x14ac:dyDescent="0.45">
      <c r="A15" t="str">
        <f>wTask[[#This Row],[Heuristic]]</f>
        <v>LCFS</v>
      </c>
      <c r="B15">
        <f>wTask[[#This Row],[Variance]]</f>
        <v>3.1E-2</v>
      </c>
      <c r="C15" s="1">
        <f>wOver[[#This Row],[W0]]/wTask[[#This Row],[W0]]</f>
        <v>9.554830899257714E-7</v>
      </c>
      <c r="D15">
        <f>wOver[[#This Row],[W1]]/wTask[[#This Row],[W1]]</f>
        <v>1.0663827223138065E-6</v>
      </c>
      <c r="E15">
        <f>wOver[[#This Row],[W2]]/wTask[[#This Row],[W2]]</f>
        <v>1.0636100020476125E-6</v>
      </c>
      <c r="F15">
        <f>wOver[[#This Row],[W3]]/wTask[[#This Row],[W3]]</f>
        <v>1.010112728163361E-6</v>
      </c>
      <c r="G15">
        <f>wOver[[#This Row],[W4]]/wTask[[#This Row],[W4]]</f>
        <v>1.0918902672627062E-6</v>
      </c>
      <c r="H15">
        <f>wOver[[#This Row],[W5]]/wTask[[#This Row],[W5]]</f>
        <v>1.0319613220751394E-6</v>
      </c>
      <c r="I15" s="1">
        <f>AVERAGE(Table3[[#This Row],[W1]:[W5]])</f>
        <v>1.0527914083725252E-6</v>
      </c>
      <c r="J15">
        <f>_xlfn.STDEV.P(Table3[[#This Row],[W1]:[W5]])</f>
        <v>2.8586181241376203E-8</v>
      </c>
      <c r="K15" s="1">
        <f>wTask[[#This Row],[Average]]</f>
        <v>551.11023360000002</v>
      </c>
      <c r="L15">
        <f>wOver[[#This Row],[Mean]]</f>
        <v>5.8020000000000001E-4</v>
      </c>
    </row>
    <row r="16" spans="1:12" x14ac:dyDescent="0.45">
      <c r="A16" t="str">
        <f>wTask[[#This Row],[Heuristic]]</f>
        <v>LCFS</v>
      </c>
      <c r="B16">
        <f>wTask[[#This Row],[Variance]]</f>
        <v>5.6000000000000001E-2</v>
      </c>
      <c r="C16" s="1">
        <f>wOver[[#This Row],[W0]]/wTask[[#This Row],[W0]]</f>
        <v>1.0266469659143016E-6</v>
      </c>
      <c r="D16">
        <f>wOver[[#This Row],[W1]]/wTask[[#This Row],[W1]]</f>
        <v>1.0694299945017159E-6</v>
      </c>
      <c r="E16">
        <f>wOver[[#This Row],[W2]]/wTask[[#This Row],[W2]]</f>
        <v>1.1138115821616608E-6</v>
      </c>
      <c r="F16">
        <f>wOver[[#This Row],[W3]]/wTask[[#This Row],[W3]]</f>
        <v>1.0638788743561965E-6</v>
      </c>
      <c r="G16">
        <f>wOver[[#This Row],[W4]]/wTask[[#This Row],[W4]]</f>
        <v>1.078284390718854E-6</v>
      </c>
      <c r="H16">
        <f>wOver[[#This Row],[W5]]/wTask[[#This Row],[W5]]</f>
        <v>1.1057292438420816E-6</v>
      </c>
      <c r="I16" s="1">
        <f>AVERAGE(Table3[[#This Row],[W1]:[W5]])</f>
        <v>1.0862268171161016E-6</v>
      </c>
      <c r="J16">
        <f>_xlfn.STDEV.P(Table3[[#This Row],[W1]:[W5]])</f>
        <v>1.992942469533805E-8</v>
      </c>
      <c r="K16" s="1">
        <f>wTask[[#This Row],[Average]]</f>
        <v>551.27066679999996</v>
      </c>
      <c r="L16">
        <f>wOver[[#This Row],[Mean]]</f>
        <v>5.9880000000000003E-4</v>
      </c>
    </row>
    <row r="17" spans="1:12" x14ac:dyDescent="0.45">
      <c r="A17" t="str">
        <f>wTask[[#This Row],[Heuristic]]</f>
        <v>LCFS</v>
      </c>
      <c r="B17">
        <f>wTask[[#This Row],[Variance]]</f>
        <v>0.1</v>
      </c>
      <c r="C17" s="1">
        <f>wOver[[#This Row],[W0]]/wTask[[#This Row],[W0]]</f>
        <v>9.5464770464735612E-7</v>
      </c>
      <c r="D17">
        <f>wOver[[#This Row],[W1]]/wTask[[#This Row],[W1]]</f>
        <v>1.1028518776664208E-6</v>
      </c>
      <c r="E17">
        <f>wOver[[#This Row],[W2]]/wTask[[#This Row],[W2]]</f>
        <v>1.0485946677508967E-6</v>
      </c>
      <c r="F17">
        <f>wOver[[#This Row],[W3]]/wTask[[#This Row],[W3]]</f>
        <v>1.0447618844550961E-6</v>
      </c>
      <c r="G17">
        <f>wOver[[#This Row],[W4]]/wTask[[#This Row],[W4]]</f>
        <v>1.1034211909378528E-6</v>
      </c>
      <c r="H17">
        <f>wOver[[#This Row],[W5]]/wTask[[#This Row],[W5]]</f>
        <v>1.042991061159497E-6</v>
      </c>
      <c r="I17" s="1">
        <f>AVERAGE(Table3[[#This Row],[W1]:[W5]])</f>
        <v>1.0685241363939526E-6</v>
      </c>
      <c r="J17">
        <f>_xlfn.STDEV.P(Table3[[#This Row],[W1]:[W5]])</f>
        <v>2.8319479180373599E-8</v>
      </c>
      <c r="K17" s="1">
        <f>wTask[[#This Row],[Average]]</f>
        <v>554.79399739999997</v>
      </c>
      <c r="L17">
        <f>wOver[[#This Row],[Mean]]</f>
        <v>5.9279999999999999E-4</v>
      </c>
    </row>
    <row r="18" spans="1:12" x14ac:dyDescent="0.45">
      <c r="A18" t="str">
        <f>wTask[[#This Row],[Heuristic]]</f>
        <v>LCFS</v>
      </c>
      <c r="B18">
        <f>wTask[[#This Row],[Variance]]</f>
        <v>0.18</v>
      </c>
      <c r="C18" s="1">
        <f>wOver[[#This Row],[W0]]/wTask[[#This Row],[W0]]</f>
        <v>1.0158700296192725E-6</v>
      </c>
      <c r="D18">
        <f>wOver[[#This Row],[W1]]/wTask[[#This Row],[W1]]</f>
        <v>1.0922839894246406E-6</v>
      </c>
      <c r="E18">
        <f>wOver[[#This Row],[W2]]/wTask[[#This Row],[W2]]</f>
        <v>1.0799403346011391E-6</v>
      </c>
      <c r="F18">
        <f>wOver[[#This Row],[W3]]/wTask[[#This Row],[W3]]</f>
        <v>1.1679188869649715E-6</v>
      </c>
      <c r="G18">
        <f>wOver[[#This Row],[W4]]/wTask[[#This Row],[W4]]</f>
        <v>1.0545777565158153E-6</v>
      </c>
      <c r="H18">
        <f>wOver[[#This Row],[W5]]/wTask[[#This Row],[W5]]</f>
        <v>1.1015410904086408E-6</v>
      </c>
      <c r="I18" s="1">
        <f>AVERAGE(Table3[[#This Row],[W1]:[W5]])</f>
        <v>1.0992524115830414E-6</v>
      </c>
      <c r="J18">
        <f>_xlfn.STDEV.P(Table3[[#This Row],[W1]:[W5]])</f>
        <v>3.778270218566213E-8</v>
      </c>
      <c r="K18" s="1">
        <f>wTask[[#This Row],[Average]]</f>
        <v>552.00691819999997</v>
      </c>
      <c r="L18">
        <f>wOver[[#This Row],[Mean]]</f>
        <v>6.068E-4</v>
      </c>
    </row>
    <row r="19" spans="1:12" x14ac:dyDescent="0.45">
      <c r="A19" t="str">
        <f>wTask[[#This Row],[Heuristic]]</f>
        <v>LCFS</v>
      </c>
      <c r="B19">
        <f>wTask[[#This Row],[Variance]]</f>
        <v>0.31</v>
      </c>
      <c r="C19" s="1">
        <f>wOver[[#This Row],[W0]]/wTask[[#This Row],[W0]]</f>
        <v>9.0229130070396328E-7</v>
      </c>
      <c r="D19">
        <f>wOver[[#This Row],[W1]]/wTask[[#This Row],[W1]]</f>
        <v>1.0870878184677242E-6</v>
      </c>
      <c r="E19">
        <f>wOver[[#This Row],[W2]]/wTask[[#This Row],[W2]]</f>
        <v>1.0291522324997886E-6</v>
      </c>
      <c r="F19">
        <f>wOver[[#This Row],[W3]]/wTask[[#This Row],[W3]]</f>
        <v>1.1024840652141373E-6</v>
      </c>
      <c r="G19">
        <f>wOver[[#This Row],[W4]]/wTask[[#This Row],[W4]]</f>
        <v>1.0741642432196187E-6</v>
      </c>
      <c r="H19">
        <f>wOver[[#This Row],[W5]]/wTask[[#This Row],[W5]]</f>
        <v>1.0690377442475002E-6</v>
      </c>
      <c r="I19" s="1">
        <f>AVERAGE(Table3[[#This Row],[W1]:[W5]])</f>
        <v>1.0723852207297539E-6</v>
      </c>
      <c r="J19">
        <f>_xlfn.STDEV.P(Table3[[#This Row],[W1]:[W5]])</f>
        <v>2.451762064577503E-8</v>
      </c>
      <c r="K19" s="1">
        <f>wTask[[#This Row],[Average]]</f>
        <v>570.31702960000007</v>
      </c>
      <c r="L19">
        <f>wOver[[#This Row],[Mean]]</f>
        <v>6.1160000000000001E-4</v>
      </c>
    </row>
    <row r="20" spans="1:12" x14ac:dyDescent="0.45">
      <c r="A20" t="str">
        <f>wTask[[#This Row],[Heuristic]]</f>
        <v>LCFS</v>
      </c>
      <c r="B20">
        <f>wTask[[#This Row],[Variance]]</f>
        <v>0.56000000000000005</v>
      </c>
      <c r="C20" s="1">
        <f>wOver[[#This Row],[W0]]/wTask[[#This Row],[W0]]</f>
        <v>1.0205773968933927E-6</v>
      </c>
      <c r="D20">
        <f>wOver[[#This Row],[W1]]/wTask[[#This Row],[W1]]</f>
        <v>9.8925431984519615E-7</v>
      </c>
      <c r="E20">
        <f>wOver[[#This Row],[W2]]/wTask[[#This Row],[W2]]</f>
        <v>1.025792134650331E-6</v>
      </c>
      <c r="F20">
        <f>wOver[[#This Row],[W3]]/wTask[[#This Row],[W3]]</f>
        <v>1.030526532653948E-6</v>
      </c>
      <c r="G20">
        <f>wOver[[#This Row],[W4]]/wTask[[#This Row],[W4]]</f>
        <v>9.3804089594041014E-7</v>
      </c>
      <c r="H20">
        <f>wOver[[#This Row],[W5]]/wTask[[#This Row],[W5]]</f>
        <v>1.042148781096996E-6</v>
      </c>
      <c r="I20" s="1">
        <f>AVERAGE(Table3[[#This Row],[W1]:[W5]])</f>
        <v>1.0051525328373762E-6</v>
      </c>
      <c r="J20">
        <f>_xlfn.STDEV.P(Table3[[#This Row],[W1]:[W5]])</f>
        <v>3.793489264071028E-8</v>
      </c>
      <c r="K20" s="1">
        <f>wTask[[#This Row],[Average]]</f>
        <v>595.3235502</v>
      </c>
      <c r="L20">
        <f>wOver[[#This Row],[Mean]]</f>
        <v>5.9840000000000002E-4</v>
      </c>
    </row>
    <row r="21" spans="1:12" x14ac:dyDescent="0.45">
      <c r="A21" t="str">
        <f>wTask[[#This Row],[Heuristic]]</f>
        <v>LCFS</v>
      </c>
      <c r="B21">
        <f>wTask[[#This Row],[Variance]]</f>
        <v>1</v>
      </c>
      <c r="C21" s="1">
        <f>wOver[[#This Row],[W0]]/wTask[[#This Row],[W0]]</f>
        <v>9.4167383134197797E-7</v>
      </c>
      <c r="D21">
        <f>wOver[[#This Row],[W1]]/wTask[[#This Row],[W1]]</f>
        <v>9.6393358060292487E-7</v>
      </c>
      <c r="E21">
        <f>wOver[[#This Row],[W2]]/wTask[[#This Row],[W2]]</f>
        <v>1.0490439635462187E-6</v>
      </c>
      <c r="F21">
        <f>wOver[[#This Row],[W3]]/wTask[[#This Row],[W3]]</f>
        <v>9.0743068808869084E-7</v>
      </c>
      <c r="G21">
        <f>wOver[[#This Row],[W4]]/wTask[[#This Row],[W4]]</f>
        <v>1.039907745997861E-6</v>
      </c>
      <c r="H21">
        <f>wOver[[#This Row],[W5]]/wTask[[#This Row],[W5]]</f>
        <v>1.0333880583293745E-6</v>
      </c>
      <c r="I21" s="1">
        <f>AVERAGE(Table3[[#This Row],[W1]:[W5]])</f>
        <v>9.9874080731301401E-7</v>
      </c>
      <c r="J21">
        <f>_xlfn.STDEV.P(Table3[[#This Row],[W1]:[W5]])</f>
        <v>5.4725930370716391E-8</v>
      </c>
      <c r="K21" s="1">
        <f>wTask[[#This Row],[Average]]</f>
        <v>604.54780540000002</v>
      </c>
      <c r="L21">
        <f>wOver[[#This Row],[Mean]]</f>
        <v>6.0380000000000004E-4</v>
      </c>
    </row>
    <row r="22" spans="1:12" x14ac:dyDescent="0.45">
      <c r="A22" s="3" t="str">
        <f>wTask[[#This Row],[Heuristic]]</f>
        <v>SJF</v>
      </c>
      <c r="B22" s="3">
        <f>wTask[[#This Row],[Variance]]</f>
        <v>0</v>
      </c>
      <c r="C22" s="4">
        <f>wOver[[#This Row],[W0]]/wTask[[#This Row],[W0]]</f>
        <v>2.1064557920245007E-6</v>
      </c>
      <c r="D22" s="3">
        <f>wOver[[#This Row],[W1]]/wTask[[#This Row],[W1]]</f>
        <v>3.1682880753292174E-6</v>
      </c>
      <c r="E22" s="3">
        <f>wOver[[#This Row],[W2]]/wTask[[#This Row],[W2]]</f>
        <v>2.0756906959741833E-6</v>
      </c>
      <c r="F22" s="3">
        <f>wOver[[#This Row],[W3]]/wTask[[#This Row],[W3]]</f>
        <v>2.8852714530554339E-6</v>
      </c>
      <c r="G22" s="3">
        <f>wOver[[#This Row],[W4]]/wTask[[#This Row],[W4]]</f>
        <v>2.2487236810670693E-6</v>
      </c>
      <c r="H22" s="3">
        <f>wOver[[#This Row],[W5]]/wTask[[#This Row],[W5]]</f>
        <v>2.2007151934839492E-6</v>
      </c>
      <c r="I22" s="4">
        <f>AVERAGE(Table3[[#This Row],[W1]:[W5]])</f>
        <v>2.5157378197819702E-6</v>
      </c>
      <c r="J22" s="3">
        <f>_xlfn.STDEV.P(Table3[[#This Row],[W1]:[W5]])</f>
        <v>4.3047746019041065E-7</v>
      </c>
      <c r="K22" s="4">
        <f>wTask[[#This Row],[Average]]</f>
        <v>548.70329220000008</v>
      </c>
      <c r="L22" s="3">
        <f>wOver[[#This Row],[Mean]]</f>
        <v>1.3803999999999999E-3</v>
      </c>
    </row>
    <row r="23" spans="1:12" x14ac:dyDescent="0.45">
      <c r="A23" t="str">
        <f>wTask[[#This Row],[Heuristic]]</f>
        <v>SJF</v>
      </c>
      <c r="B23">
        <f>wTask[[#This Row],[Variance]]</f>
        <v>0.01</v>
      </c>
      <c r="C23" s="1">
        <f>wOver[[#This Row],[W0]]/wTask[[#This Row],[W0]]</f>
        <v>3.0141882459884298E-6</v>
      </c>
      <c r="D23">
        <f>wOver[[#This Row],[W1]]/wTask[[#This Row],[W1]]</f>
        <v>3.0517689485214506E-6</v>
      </c>
      <c r="E23">
        <f>wOver[[#This Row],[W2]]/wTask[[#This Row],[W2]]</f>
        <v>3.1888864513719666E-6</v>
      </c>
      <c r="F23">
        <f>wOver[[#This Row],[W3]]/wTask[[#This Row],[W3]]</f>
        <v>3.3316980853447889E-6</v>
      </c>
      <c r="G23">
        <f>wOver[[#This Row],[W4]]/wTask[[#This Row],[W4]]</f>
        <v>3.1398306522185847E-6</v>
      </c>
      <c r="H23">
        <f>wOver[[#This Row],[W5]]/wTask[[#This Row],[W5]]</f>
        <v>3.2276136077356788E-6</v>
      </c>
      <c r="I23" s="1">
        <f>AVERAGE(Table3[[#This Row],[W1]:[W5]])</f>
        <v>3.1879595490384938E-6</v>
      </c>
      <c r="J23">
        <f>_xlfn.STDEV.P(Table3[[#This Row],[W1]:[W5]])</f>
        <v>9.2842167916164059E-8</v>
      </c>
      <c r="K23" s="1">
        <f>wTask[[#This Row],[Average]]</f>
        <v>551.32220180000002</v>
      </c>
      <c r="L23">
        <f>wOver[[#This Row],[Mean]]</f>
        <v>1.7576000000000002E-3</v>
      </c>
    </row>
    <row r="24" spans="1:12" x14ac:dyDescent="0.45">
      <c r="A24" t="str">
        <f>wTask[[#This Row],[Heuristic]]</f>
        <v>SJF</v>
      </c>
      <c r="B24">
        <f>wTask[[#This Row],[Variance]]</f>
        <v>1.7999999999999999E-2</v>
      </c>
      <c r="C24" s="1">
        <f>wOver[[#This Row],[W0]]/wTask[[#This Row],[W0]]</f>
        <v>3.1190799353576132E-6</v>
      </c>
      <c r="D24">
        <f>wOver[[#This Row],[W1]]/wTask[[#This Row],[W1]]</f>
        <v>3.2647519647934089E-6</v>
      </c>
      <c r="E24">
        <f>wOver[[#This Row],[W2]]/wTask[[#This Row],[W2]]</f>
        <v>3.1076239059721608E-6</v>
      </c>
      <c r="F24">
        <f>wOver[[#This Row],[W3]]/wTask[[#This Row],[W3]]</f>
        <v>3.0121821524830339E-6</v>
      </c>
      <c r="G24">
        <f>wOver[[#This Row],[W4]]/wTask[[#This Row],[W4]]</f>
        <v>3.2036628854909978E-6</v>
      </c>
      <c r="H24">
        <f>wOver[[#This Row],[W5]]/wTask[[#This Row],[W5]]</f>
        <v>3.1284079674664299E-6</v>
      </c>
      <c r="I24" s="1">
        <f>AVERAGE(Table3[[#This Row],[W1]:[W5]])</f>
        <v>3.1433257752412062E-6</v>
      </c>
      <c r="J24">
        <f>_xlfn.STDEV.P(Table3[[#This Row],[W1]:[W5]])</f>
        <v>8.6117014150178188E-8</v>
      </c>
      <c r="K24" s="1">
        <f>wTask[[#This Row],[Average]]</f>
        <v>551.07209919999991</v>
      </c>
      <c r="L24">
        <f>wOver[[#This Row],[Mean]]</f>
        <v>1.7322000000000001E-3</v>
      </c>
    </row>
    <row r="25" spans="1:12" x14ac:dyDescent="0.45">
      <c r="A25" t="str">
        <f>wTask[[#This Row],[Heuristic]]</f>
        <v>SJF</v>
      </c>
      <c r="B25">
        <f>wTask[[#This Row],[Variance]]</f>
        <v>3.1E-2</v>
      </c>
      <c r="C25" s="1">
        <f>wOver[[#This Row],[W0]]/wTask[[#This Row],[W0]]</f>
        <v>2.9514290324478671E-6</v>
      </c>
      <c r="D25">
        <f>wOver[[#This Row],[W1]]/wTask[[#This Row],[W1]]</f>
        <v>2.8766483397151527E-6</v>
      </c>
      <c r="E25">
        <f>wOver[[#This Row],[W2]]/wTask[[#This Row],[W2]]</f>
        <v>3.2452629956583947E-6</v>
      </c>
      <c r="F25">
        <f>wOver[[#This Row],[W3]]/wTask[[#This Row],[W3]]</f>
        <v>3.0941968567017659E-6</v>
      </c>
      <c r="G25">
        <f>wOver[[#This Row],[W4]]/wTask[[#This Row],[W4]]</f>
        <v>3.1100185597723386E-6</v>
      </c>
      <c r="H25">
        <f>wOver[[#This Row],[W5]]/wTask[[#This Row],[W5]]</f>
        <v>2.9625362131586429E-6</v>
      </c>
      <c r="I25" s="1">
        <f>AVERAGE(Table3[[#This Row],[W1]:[W5]])</f>
        <v>3.057732593001259E-6</v>
      </c>
      <c r="J25">
        <f>_xlfn.STDEV.P(Table3[[#This Row],[W1]:[W5]])</f>
        <v>1.2734596522268016E-7</v>
      </c>
      <c r="K25" s="1">
        <f>wTask[[#This Row],[Average]]</f>
        <v>549.82140500000003</v>
      </c>
      <c r="L25">
        <f>wOver[[#This Row],[Mean]]</f>
        <v>1.6812000000000001E-3</v>
      </c>
    </row>
    <row r="26" spans="1:12" x14ac:dyDescent="0.45">
      <c r="A26" t="str">
        <f>wTask[[#This Row],[Heuristic]]</f>
        <v>SJF</v>
      </c>
      <c r="B26">
        <f>wTask[[#This Row],[Variance]]</f>
        <v>5.6000000000000001E-2</v>
      </c>
      <c r="C26" s="1">
        <f>wOver[[#This Row],[W0]]/wTask[[#This Row],[W0]]</f>
        <v>3.0044118591479067E-6</v>
      </c>
      <c r="D26">
        <f>wOver[[#This Row],[W1]]/wTask[[#This Row],[W1]]</f>
        <v>2.8279072570724091E-6</v>
      </c>
      <c r="E26">
        <f>wOver[[#This Row],[W2]]/wTask[[#This Row],[W2]]</f>
        <v>3.0948732244051524E-6</v>
      </c>
      <c r="F26">
        <f>wOver[[#This Row],[W3]]/wTask[[#This Row],[W3]]</f>
        <v>3.0351191275821653E-6</v>
      </c>
      <c r="G26">
        <f>wOver[[#This Row],[W4]]/wTask[[#This Row],[W4]]</f>
        <v>3.2507188458334174E-6</v>
      </c>
      <c r="H26">
        <f>wOver[[#This Row],[W5]]/wTask[[#This Row],[W5]]</f>
        <v>3.0846119522195135E-6</v>
      </c>
      <c r="I26" s="1">
        <f>AVERAGE(Table3[[#This Row],[W1]:[W5]])</f>
        <v>3.0586460814225314E-6</v>
      </c>
      <c r="J26">
        <f>_xlfn.STDEV.P(Table3[[#This Row],[W1]:[W5]])</f>
        <v>1.3614147184664333E-7</v>
      </c>
      <c r="K26" s="1">
        <f>wTask[[#This Row],[Average]]</f>
        <v>550.89229520000004</v>
      </c>
      <c r="L26">
        <f>wOver[[#This Row],[Mean]]</f>
        <v>1.6850000000000001E-3</v>
      </c>
    </row>
    <row r="27" spans="1:12" x14ac:dyDescent="0.45">
      <c r="A27" t="str">
        <f>wTask[[#This Row],[Heuristic]]</f>
        <v>SJF</v>
      </c>
      <c r="B27">
        <f>wTask[[#This Row],[Variance]]</f>
        <v>0.1</v>
      </c>
      <c r="C27" s="1">
        <f>wOver[[#This Row],[W0]]/wTask[[#This Row],[W0]]</f>
        <v>3.0210579671577809E-6</v>
      </c>
      <c r="D27">
        <f>wOver[[#This Row],[W1]]/wTask[[#This Row],[W1]]</f>
        <v>3.0650648272603238E-6</v>
      </c>
      <c r="E27">
        <f>wOver[[#This Row],[W2]]/wTask[[#This Row],[W2]]</f>
        <v>3.1513636858673485E-6</v>
      </c>
      <c r="F27">
        <f>wOver[[#This Row],[W3]]/wTask[[#This Row],[W3]]</f>
        <v>3.1378176195889779E-6</v>
      </c>
      <c r="G27">
        <f>wOver[[#This Row],[W4]]/wTask[[#This Row],[W4]]</f>
        <v>3.0190103866177966E-6</v>
      </c>
      <c r="H27">
        <f>wOver[[#This Row],[W5]]/wTask[[#This Row],[W5]]</f>
        <v>2.9956243083656013E-6</v>
      </c>
      <c r="I27" s="1">
        <f>AVERAGE(Table3[[#This Row],[W1]:[W5]])</f>
        <v>3.0737761655400101E-6</v>
      </c>
      <c r="J27">
        <f>_xlfn.STDEV.P(Table3[[#This Row],[W1]:[W5]])</f>
        <v>6.2135371379980161E-8</v>
      </c>
      <c r="K27" s="1">
        <f>wTask[[#This Row],[Average]]</f>
        <v>553.51869299999998</v>
      </c>
      <c r="L27">
        <f>wOver[[#This Row],[Mean]]</f>
        <v>1.7014E-3</v>
      </c>
    </row>
    <row r="28" spans="1:12" x14ac:dyDescent="0.45">
      <c r="A28" t="str">
        <f>wTask[[#This Row],[Heuristic]]</f>
        <v>SJF</v>
      </c>
      <c r="B28">
        <f>wTask[[#This Row],[Variance]]</f>
        <v>0.18</v>
      </c>
      <c r="C28" s="1">
        <f>wOver[[#This Row],[W0]]/wTask[[#This Row],[W0]]</f>
        <v>3.0269550577986457E-6</v>
      </c>
      <c r="D28">
        <f>wOver[[#This Row],[W1]]/wTask[[#This Row],[W1]]</f>
        <v>2.9957825049052061E-6</v>
      </c>
      <c r="E28">
        <f>wOver[[#This Row],[W2]]/wTask[[#This Row],[W2]]</f>
        <v>3.0210218426418466E-6</v>
      </c>
      <c r="F28">
        <f>wOver[[#This Row],[W3]]/wTask[[#This Row],[W3]]</f>
        <v>2.917223275393346E-6</v>
      </c>
      <c r="G28">
        <f>wOver[[#This Row],[W4]]/wTask[[#This Row],[W4]]</f>
        <v>3.0063854491434511E-6</v>
      </c>
      <c r="H28">
        <f>wOver[[#This Row],[W5]]/wTask[[#This Row],[W5]]</f>
        <v>3.0957123810977558E-6</v>
      </c>
      <c r="I28" s="1">
        <f>AVERAGE(Table3[[#This Row],[W1]:[W5]])</f>
        <v>3.0072250906363216E-6</v>
      </c>
      <c r="J28">
        <f>_xlfn.STDEV.P(Table3[[#This Row],[W1]:[W5]])</f>
        <v>5.7012832682106529E-8</v>
      </c>
      <c r="K28" s="1">
        <f>wTask[[#This Row],[Average]]</f>
        <v>554.40096259999996</v>
      </c>
      <c r="L28">
        <f>wOver[[#This Row],[Mean]]</f>
        <v>1.6672E-3</v>
      </c>
    </row>
    <row r="29" spans="1:12" x14ac:dyDescent="0.45">
      <c r="A29" t="str">
        <f>wTask[[#This Row],[Heuristic]]</f>
        <v>SJF</v>
      </c>
      <c r="B29">
        <f>wTask[[#This Row],[Variance]]</f>
        <v>0.31</v>
      </c>
      <c r="C29" s="1">
        <f>wOver[[#This Row],[W0]]/wTask[[#This Row],[W0]]</f>
        <v>3.1296158972030182E-6</v>
      </c>
      <c r="D29">
        <f>wOver[[#This Row],[W1]]/wTask[[#This Row],[W1]]</f>
        <v>2.8702273906872712E-6</v>
      </c>
      <c r="E29">
        <f>wOver[[#This Row],[W2]]/wTask[[#This Row],[W2]]</f>
        <v>2.8464972380882779E-6</v>
      </c>
      <c r="F29">
        <f>wOver[[#This Row],[W3]]/wTask[[#This Row],[W3]]</f>
        <v>2.8931915876739288E-6</v>
      </c>
      <c r="G29">
        <f>wOver[[#This Row],[W4]]/wTask[[#This Row],[W4]]</f>
        <v>2.9289489496071261E-6</v>
      </c>
      <c r="H29">
        <f>wOver[[#This Row],[W5]]/wTask[[#This Row],[W5]]</f>
        <v>2.9691452702043736E-6</v>
      </c>
      <c r="I29" s="1">
        <f>AVERAGE(Table3[[#This Row],[W1]:[W5]])</f>
        <v>2.9016020872521955E-6</v>
      </c>
      <c r="J29">
        <f>_xlfn.STDEV.P(Table3[[#This Row],[W1]:[W5]])</f>
        <v>4.3362621998781683E-8</v>
      </c>
      <c r="K29" s="1">
        <f>wTask[[#This Row],[Average]]</f>
        <v>570.02266020000002</v>
      </c>
      <c r="L29">
        <f>wOver[[#This Row],[Mean]]</f>
        <v>1.6539999999999999E-3</v>
      </c>
    </row>
    <row r="30" spans="1:12" x14ac:dyDescent="0.45">
      <c r="A30" t="str">
        <f>wTask[[#This Row],[Heuristic]]</f>
        <v>SJF</v>
      </c>
      <c r="B30">
        <f>wTask[[#This Row],[Variance]]</f>
        <v>0.56000000000000005</v>
      </c>
      <c r="C30" s="1">
        <f>wOver[[#This Row],[W0]]/wTask[[#This Row],[W0]]</f>
        <v>3.1287169476595028E-6</v>
      </c>
      <c r="D30">
        <f>wOver[[#This Row],[W1]]/wTask[[#This Row],[W1]]</f>
        <v>2.4949587135461871E-6</v>
      </c>
      <c r="E30">
        <f>wOver[[#This Row],[W2]]/wTask[[#This Row],[W2]]</f>
        <v>2.5899439095425694E-6</v>
      </c>
      <c r="F30">
        <f>wOver[[#This Row],[W3]]/wTask[[#This Row],[W3]]</f>
        <v>2.6215885911738559E-6</v>
      </c>
      <c r="G30">
        <f>wOver[[#This Row],[W4]]/wTask[[#This Row],[W4]]</f>
        <v>2.5814750972937899E-6</v>
      </c>
      <c r="H30">
        <f>wOver[[#This Row],[W5]]/wTask[[#This Row],[W5]]</f>
        <v>2.677569748623226E-6</v>
      </c>
      <c r="I30" s="1">
        <f>AVERAGE(Table3[[#This Row],[W1]:[W5]])</f>
        <v>2.5931072120359253E-6</v>
      </c>
      <c r="J30">
        <f>_xlfn.STDEV.P(Table3[[#This Row],[W1]:[W5]])</f>
        <v>5.9537466147273164E-8</v>
      </c>
      <c r="K30" s="1">
        <f>wTask[[#This Row],[Average]]</f>
        <v>594.02361859999996</v>
      </c>
      <c r="L30">
        <f>wOver[[#This Row],[Mean]]</f>
        <v>1.5404000000000001E-3</v>
      </c>
    </row>
    <row r="31" spans="1:12" x14ac:dyDescent="0.45">
      <c r="A31" t="str">
        <f>wTask[[#This Row],[Heuristic]]</f>
        <v>SJF</v>
      </c>
      <c r="B31">
        <f>wTask[[#This Row],[Variance]]</f>
        <v>1</v>
      </c>
      <c r="C31" s="1">
        <f>wOver[[#This Row],[W0]]/wTask[[#This Row],[W0]]</f>
        <v>3.0757056760324379E-6</v>
      </c>
      <c r="D31">
        <f>wOver[[#This Row],[W1]]/wTask[[#This Row],[W1]]</f>
        <v>2.5272866761908499E-6</v>
      </c>
      <c r="E31">
        <f>wOver[[#This Row],[W2]]/wTask[[#This Row],[W2]]</f>
        <v>2.7146250468984913E-6</v>
      </c>
      <c r="F31">
        <f>wOver[[#This Row],[W3]]/wTask[[#This Row],[W3]]</f>
        <v>2.6726810110486812E-6</v>
      </c>
      <c r="G31">
        <f>wOver[[#This Row],[W4]]/wTask[[#This Row],[W4]]</f>
        <v>2.6790249465702482E-6</v>
      </c>
      <c r="H31">
        <f>wOver[[#This Row],[W5]]/wTask[[#This Row],[W5]]</f>
        <v>2.6463033962566709E-6</v>
      </c>
      <c r="I31" s="1">
        <f>AVERAGE(Table3[[#This Row],[W1]:[W5]])</f>
        <v>2.6479842153929885E-6</v>
      </c>
      <c r="J31">
        <f>_xlfn.STDEV.P(Table3[[#This Row],[W1]:[W5]])</f>
        <v>6.4164133678938634E-8</v>
      </c>
      <c r="K31" s="1">
        <f>wTask[[#This Row],[Average]]</f>
        <v>604.82144720000008</v>
      </c>
      <c r="L31">
        <f>wOver[[#This Row],[Mean]]</f>
        <v>1.6015999999999999E-3</v>
      </c>
    </row>
    <row r="32" spans="1:12" x14ac:dyDescent="0.45">
      <c r="A32" s="3" t="str">
        <f>wTask[[#This Row],[Heuristic]]</f>
        <v>LJF</v>
      </c>
      <c r="B32" s="3">
        <f>wTask[[#This Row],[Variance]]</f>
        <v>0</v>
      </c>
      <c r="C32" s="4">
        <f>wOver[[#This Row],[W0]]/wTask[[#This Row],[W0]]</f>
        <v>2.3915076078303592E-6</v>
      </c>
      <c r="D32" s="3">
        <f>wOver[[#This Row],[W1]]/wTask[[#This Row],[W1]]</f>
        <v>1.7181855577475188E-6</v>
      </c>
      <c r="E32" s="3">
        <f>wOver[[#This Row],[W2]]/wTask[[#This Row],[W2]]</f>
        <v>1.7909163714931314E-6</v>
      </c>
      <c r="F32" s="3">
        <f>wOver[[#This Row],[W3]]/wTask[[#This Row],[W3]]</f>
        <v>2.0205030565869896E-6</v>
      </c>
      <c r="G32" s="3">
        <f>wOver[[#This Row],[W4]]/wTask[[#This Row],[W4]]</f>
        <v>1.7196733829996889E-6</v>
      </c>
      <c r="H32" s="3">
        <f>wOver[[#This Row],[W5]]/wTask[[#This Row],[W5]]</f>
        <v>1.6928997101182294E-6</v>
      </c>
      <c r="I32" s="4">
        <f>AVERAGE(Table3[[#This Row],[W1]:[W5]])</f>
        <v>1.7884356157891116E-6</v>
      </c>
      <c r="J32" s="3">
        <f>_xlfn.STDEV.P(Table3[[#This Row],[W1]:[W5]])</f>
        <v>1.2054200580107274E-7</v>
      </c>
      <c r="K32" s="4">
        <f>wTask[[#This Row],[Average]]</f>
        <v>548.73135500000001</v>
      </c>
      <c r="L32" s="3">
        <f>wOver[[#This Row],[Mean]]</f>
        <v>9.8140000000000011E-4</v>
      </c>
    </row>
    <row r="33" spans="1:12" x14ac:dyDescent="0.45">
      <c r="A33" t="str">
        <f>wTask[[#This Row],[Heuristic]]</f>
        <v>LJF</v>
      </c>
      <c r="B33">
        <f>wTask[[#This Row],[Variance]]</f>
        <v>0.01</v>
      </c>
      <c r="C33" s="1">
        <f>wOver[[#This Row],[W0]]/wTask[[#This Row],[W0]]</f>
        <v>2.1015143914733799E-6</v>
      </c>
      <c r="D33">
        <f>wOver[[#This Row],[W1]]/wTask[[#This Row],[W1]]</f>
        <v>2.5830355289739547E-6</v>
      </c>
      <c r="E33">
        <f>wOver[[#This Row],[W2]]/wTask[[#This Row],[W2]]</f>
        <v>2.231003891726217E-6</v>
      </c>
      <c r="F33">
        <f>wOver[[#This Row],[W3]]/wTask[[#This Row],[W3]]</f>
        <v>3.193309861430541E-6</v>
      </c>
      <c r="G33">
        <f>wOver[[#This Row],[W4]]/wTask[[#This Row],[W4]]</f>
        <v>2.2074561929276404E-6</v>
      </c>
      <c r="H33">
        <f>wOver[[#This Row],[W5]]/wTask[[#This Row],[W5]]</f>
        <v>2.1496335279706662E-6</v>
      </c>
      <c r="I33" s="1">
        <f>AVERAGE(Table3[[#This Row],[W1]:[W5]])</f>
        <v>2.4728878006058042E-6</v>
      </c>
      <c r="J33">
        <f>_xlfn.STDEV.P(Table3[[#This Row],[W1]:[W5]])</f>
        <v>3.9104873258814686E-7</v>
      </c>
      <c r="K33" s="1">
        <f>wTask[[#This Row],[Average]]</f>
        <v>551.5565034</v>
      </c>
      <c r="L33">
        <f>wOver[[#This Row],[Mean]]</f>
        <v>1.3640000000000002E-3</v>
      </c>
    </row>
    <row r="34" spans="1:12" x14ac:dyDescent="0.45">
      <c r="A34" t="str">
        <f>wTask[[#This Row],[Heuristic]]</f>
        <v>LJF</v>
      </c>
      <c r="B34">
        <f>wTask[[#This Row],[Variance]]</f>
        <v>1.7999999999999999E-2</v>
      </c>
      <c r="C34" s="1">
        <f>wOver[[#This Row],[W0]]/wTask[[#This Row],[W0]]</f>
        <v>2.1111006306231507E-6</v>
      </c>
      <c r="D34">
        <f>wOver[[#This Row],[W1]]/wTask[[#This Row],[W1]]</f>
        <v>2.5628402957786668E-6</v>
      </c>
      <c r="E34">
        <f>wOver[[#This Row],[W2]]/wTask[[#This Row],[W2]]</f>
        <v>2.2077750899427329E-6</v>
      </c>
      <c r="F34">
        <f>wOver[[#This Row],[W3]]/wTask[[#This Row],[W3]]</f>
        <v>2.1930451281999081E-6</v>
      </c>
      <c r="G34">
        <f>wOver[[#This Row],[W4]]/wTask[[#This Row],[W4]]</f>
        <v>2.2547037633536011E-6</v>
      </c>
      <c r="H34">
        <f>wOver[[#This Row],[W5]]/wTask[[#This Row],[W5]]</f>
        <v>2.2146744554145417E-6</v>
      </c>
      <c r="I34" s="1">
        <f>AVERAGE(Table3[[#This Row],[W1]:[W5]])</f>
        <v>2.2866077465378898E-6</v>
      </c>
      <c r="J34">
        <f>_xlfn.STDEV.P(Table3[[#This Row],[W1]:[W5]])</f>
        <v>1.396175025353389E-7</v>
      </c>
      <c r="K34" s="1">
        <f>wTask[[#This Row],[Average]]</f>
        <v>551.55322639999997</v>
      </c>
      <c r="L34">
        <f>wOver[[#This Row],[Mean]]</f>
        <v>1.2612000000000001E-3</v>
      </c>
    </row>
    <row r="35" spans="1:12" x14ac:dyDescent="0.45">
      <c r="A35" t="str">
        <f>wTask[[#This Row],[Heuristic]]</f>
        <v>LJF</v>
      </c>
      <c r="B35">
        <f>wTask[[#This Row],[Variance]]</f>
        <v>3.1E-2</v>
      </c>
      <c r="C35" s="1">
        <f>wOver[[#This Row],[W0]]/wTask[[#This Row],[W0]]</f>
        <v>2.1329813292982976E-6</v>
      </c>
      <c r="D35">
        <f>wOver[[#This Row],[W1]]/wTask[[#This Row],[W1]]</f>
        <v>2.508561270754752E-6</v>
      </c>
      <c r="E35">
        <f>wOver[[#This Row],[W2]]/wTask[[#This Row],[W2]]</f>
        <v>2.7302421641461087E-6</v>
      </c>
      <c r="F35">
        <f>wOver[[#This Row],[W3]]/wTask[[#This Row],[W3]]</f>
        <v>2.5229540221094097E-6</v>
      </c>
      <c r="G35">
        <f>wOver[[#This Row],[W4]]/wTask[[#This Row],[W4]]</f>
        <v>2.2997795835878677E-6</v>
      </c>
      <c r="H35">
        <f>wOver[[#This Row],[W5]]/wTask[[#This Row],[W5]]</f>
        <v>2.3631446436703852E-6</v>
      </c>
      <c r="I35" s="1">
        <f>AVERAGE(Table3[[#This Row],[W1]:[W5]])</f>
        <v>2.4849363368537048E-6</v>
      </c>
      <c r="J35">
        <f>_xlfn.STDEV.P(Table3[[#This Row],[W1]:[W5]])</f>
        <v>1.4919428313849518E-7</v>
      </c>
      <c r="K35" s="1">
        <f>wTask[[#This Row],[Average]]</f>
        <v>552.46312560000001</v>
      </c>
      <c r="L35">
        <f>wOver[[#This Row],[Mean]]</f>
        <v>1.3728E-3</v>
      </c>
    </row>
    <row r="36" spans="1:12" x14ac:dyDescent="0.45">
      <c r="A36" t="str">
        <f>wTask[[#This Row],[Heuristic]]</f>
        <v>LJF</v>
      </c>
      <c r="B36">
        <f>wTask[[#This Row],[Variance]]</f>
        <v>5.6000000000000001E-2</v>
      </c>
      <c r="C36" s="1">
        <f>wOver[[#This Row],[W0]]/wTask[[#This Row],[W0]]</f>
        <v>2.2379527753257997E-6</v>
      </c>
      <c r="D36">
        <f>wOver[[#This Row],[W1]]/wTask[[#This Row],[W1]]</f>
        <v>2.6051431131102924E-6</v>
      </c>
      <c r="E36">
        <f>wOver[[#This Row],[W2]]/wTask[[#This Row],[W2]]</f>
        <v>2.6581436124182588E-6</v>
      </c>
      <c r="F36">
        <f>wOver[[#This Row],[W3]]/wTask[[#This Row],[W3]]</f>
        <v>2.4290515788806217E-6</v>
      </c>
      <c r="G36">
        <f>wOver[[#This Row],[W4]]/wTask[[#This Row],[W4]]</f>
        <v>2.4349773211143911E-6</v>
      </c>
      <c r="H36">
        <f>wOver[[#This Row],[W5]]/wTask[[#This Row],[W5]]</f>
        <v>2.4693568900649544E-6</v>
      </c>
      <c r="I36" s="1">
        <f>AVERAGE(Table3[[#This Row],[W1]:[W5]])</f>
        <v>2.5193345031177038E-6</v>
      </c>
      <c r="J36">
        <f>_xlfn.STDEV.P(Table3[[#This Row],[W1]:[W5]])</f>
        <v>9.4229495111098494E-8</v>
      </c>
      <c r="K36" s="1">
        <f>wTask[[#This Row],[Average]]</f>
        <v>551.10636700000009</v>
      </c>
      <c r="L36">
        <f>wOver[[#This Row],[Mean]]</f>
        <v>1.3884000000000001E-3</v>
      </c>
    </row>
    <row r="37" spans="1:12" x14ac:dyDescent="0.45">
      <c r="A37" t="str">
        <f>wTask[[#This Row],[Heuristic]]</f>
        <v>LJF</v>
      </c>
      <c r="B37">
        <f>wTask[[#This Row],[Variance]]</f>
        <v>0.1</v>
      </c>
      <c r="C37" s="1">
        <f>wOver[[#This Row],[W0]]/wTask[[#This Row],[W0]]</f>
        <v>2.4183889407145321E-6</v>
      </c>
      <c r="D37">
        <f>wOver[[#This Row],[W1]]/wTask[[#This Row],[W1]]</f>
        <v>2.8311270232246181E-6</v>
      </c>
      <c r="E37">
        <f>wOver[[#This Row],[W2]]/wTask[[#This Row],[W2]]</f>
        <v>2.8336254459666058E-6</v>
      </c>
      <c r="F37">
        <f>wOver[[#This Row],[W3]]/wTask[[#This Row],[W3]]</f>
        <v>2.7947838378322268E-6</v>
      </c>
      <c r="G37">
        <f>wOver[[#This Row],[W4]]/wTask[[#This Row],[W4]]</f>
        <v>2.8551159774639888E-6</v>
      </c>
      <c r="H37">
        <f>wOver[[#This Row],[W5]]/wTask[[#This Row],[W5]]</f>
        <v>2.7624458123233529E-6</v>
      </c>
      <c r="I37" s="1">
        <f>AVERAGE(Table3[[#This Row],[W1]:[W5]])</f>
        <v>2.8154196193621586E-6</v>
      </c>
      <c r="J37">
        <f>_xlfn.STDEV.P(Table3[[#This Row],[W1]:[W5]])</f>
        <v>3.282083245907708E-8</v>
      </c>
      <c r="K37" s="1">
        <f>wTask[[#This Row],[Average]]</f>
        <v>554.01911140000004</v>
      </c>
      <c r="L37">
        <f>wOver[[#This Row],[Mean]]</f>
        <v>1.5598000000000001E-3</v>
      </c>
    </row>
    <row r="38" spans="1:12" x14ac:dyDescent="0.45">
      <c r="A38" t="str">
        <f>wTask[[#This Row],[Heuristic]]</f>
        <v>LJF</v>
      </c>
      <c r="B38">
        <f>wTask[[#This Row],[Variance]]</f>
        <v>0.18</v>
      </c>
      <c r="C38" s="1">
        <f>wOver[[#This Row],[W0]]/wTask[[#This Row],[W0]]</f>
        <v>2.5289132101892614E-6</v>
      </c>
      <c r="D38">
        <f>wOver[[#This Row],[W1]]/wTask[[#This Row],[W1]]</f>
        <v>3.1000720628793297E-6</v>
      </c>
      <c r="E38">
        <f>wOver[[#This Row],[W2]]/wTask[[#This Row],[W2]]</f>
        <v>3.1571645098533399E-6</v>
      </c>
      <c r="F38">
        <f>wOver[[#This Row],[W3]]/wTask[[#This Row],[W3]]</f>
        <v>3.0199120034422021E-6</v>
      </c>
      <c r="G38">
        <f>wOver[[#This Row],[W4]]/wTask[[#This Row],[W4]]</f>
        <v>3.0783323152895835E-6</v>
      </c>
      <c r="H38">
        <f>wOver[[#This Row],[W5]]/wTask[[#This Row],[W5]]</f>
        <v>2.9667816314086914E-6</v>
      </c>
      <c r="I38" s="1">
        <f>AVERAGE(Table3[[#This Row],[W1]:[W5]])</f>
        <v>3.0644525045746294E-6</v>
      </c>
      <c r="J38">
        <f>_xlfn.STDEV.P(Table3[[#This Row],[W1]:[W5]])</f>
        <v>6.5696839662542442E-8</v>
      </c>
      <c r="K38" s="1">
        <f>wTask[[#This Row],[Average]]</f>
        <v>554.48878519999994</v>
      </c>
      <c r="L38">
        <f>wOver[[#This Row],[Mean]]</f>
        <v>1.6992000000000001E-3</v>
      </c>
    </row>
    <row r="39" spans="1:12" x14ac:dyDescent="0.45">
      <c r="A39" t="str">
        <f>wTask[[#This Row],[Heuristic]]</f>
        <v>LJF</v>
      </c>
      <c r="B39">
        <f>wTask[[#This Row],[Variance]]</f>
        <v>0.31</v>
      </c>
      <c r="C39" s="1">
        <f>wOver[[#This Row],[W0]]/wTask[[#This Row],[W0]]</f>
        <v>2.479095913640096E-6</v>
      </c>
      <c r="D39">
        <f>wOver[[#This Row],[W1]]/wTask[[#This Row],[W1]]</f>
        <v>3.2944132804793627E-6</v>
      </c>
      <c r="E39">
        <f>wOver[[#This Row],[W2]]/wTask[[#This Row],[W2]]</f>
        <v>3.2729672759243118E-6</v>
      </c>
      <c r="F39">
        <f>wOver[[#This Row],[W3]]/wTask[[#This Row],[W3]]</f>
        <v>3.2590582882050596E-6</v>
      </c>
      <c r="G39">
        <f>wOver[[#This Row],[W4]]/wTask[[#This Row],[W4]]</f>
        <v>3.2846633466943535E-6</v>
      </c>
      <c r="H39">
        <f>wOver[[#This Row],[W5]]/wTask[[#This Row],[W5]]</f>
        <v>3.2712565969707917E-6</v>
      </c>
      <c r="I39" s="1">
        <f>AVERAGE(Table3[[#This Row],[W1]:[W5]])</f>
        <v>3.2764717576547762E-6</v>
      </c>
      <c r="J39">
        <f>_xlfn.STDEV.P(Table3[[#This Row],[W1]:[W5]])</f>
        <v>1.2097178048566773E-8</v>
      </c>
      <c r="K39" s="1">
        <f>wTask[[#This Row],[Average]]</f>
        <v>572.26194300000009</v>
      </c>
      <c r="L39">
        <f>wOver[[#This Row],[Mean]]</f>
        <v>1.8749999999999999E-3</v>
      </c>
    </row>
    <row r="40" spans="1:12" x14ac:dyDescent="0.45">
      <c r="A40" t="str">
        <f>wTask[[#This Row],[Heuristic]]</f>
        <v>LJF</v>
      </c>
      <c r="B40">
        <f>wTask[[#This Row],[Variance]]</f>
        <v>0.56000000000000005</v>
      </c>
      <c r="C40" s="1">
        <f>wOver[[#This Row],[W0]]/wTask[[#This Row],[W0]]</f>
        <v>1.9881920863111294E-6</v>
      </c>
      <c r="D40">
        <f>wOver[[#This Row],[W1]]/wTask[[#This Row],[W1]]</f>
        <v>3.1949085241175831E-6</v>
      </c>
      <c r="E40">
        <f>wOver[[#This Row],[W2]]/wTask[[#This Row],[W2]]</f>
        <v>3.2043458993158486E-6</v>
      </c>
      <c r="F40">
        <f>wOver[[#This Row],[W3]]/wTask[[#This Row],[W3]]</f>
        <v>3.2931086280967886E-6</v>
      </c>
      <c r="G40">
        <f>wOver[[#This Row],[W4]]/wTask[[#This Row],[W4]]</f>
        <v>3.1339736730173287E-6</v>
      </c>
      <c r="H40">
        <f>wOver[[#This Row],[W5]]/wTask[[#This Row],[W5]]</f>
        <v>3.2076171250385855E-6</v>
      </c>
      <c r="I40" s="1">
        <f>AVERAGE(Table3[[#This Row],[W1]:[W5]])</f>
        <v>3.2067907699172264E-6</v>
      </c>
      <c r="J40">
        <f>_xlfn.STDEV.P(Table3[[#This Row],[W1]:[W5]])</f>
        <v>5.0795571188684E-8</v>
      </c>
      <c r="K40" s="1">
        <f>wTask[[#This Row],[Average]]</f>
        <v>597.29496719999997</v>
      </c>
      <c r="L40">
        <f>wOver[[#This Row],[Mean]]</f>
        <v>1.9153999999999998E-3</v>
      </c>
    </row>
    <row r="41" spans="1:12" x14ac:dyDescent="0.45">
      <c r="A41" t="str">
        <f>wTask[[#This Row],[Heuristic]]</f>
        <v>LJF</v>
      </c>
      <c r="B41">
        <f>wTask[[#This Row],[Variance]]</f>
        <v>1</v>
      </c>
      <c r="C41" s="1">
        <f>wOver[[#This Row],[W0]]/wTask[[#This Row],[W0]]</f>
        <v>1.8728536723887252E-6</v>
      </c>
      <c r="D41">
        <f>wOver[[#This Row],[W1]]/wTask[[#This Row],[W1]]</f>
        <v>3.131642068010432E-6</v>
      </c>
      <c r="E41">
        <f>wOver[[#This Row],[W2]]/wTask[[#This Row],[W2]]</f>
        <v>3.1563032089282295E-6</v>
      </c>
      <c r="F41">
        <f>wOver[[#This Row],[W3]]/wTask[[#This Row],[W3]]</f>
        <v>3.1235871394518286E-6</v>
      </c>
      <c r="G41">
        <f>wOver[[#This Row],[W4]]/wTask[[#This Row],[W4]]</f>
        <v>3.2532581549090589E-6</v>
      </c>
      <c r="H41">
        <f>wOver[[#This Row],[W5]]/wTask[[#This Row],[W5]]</f>
        <v>3.0608559377544335E-6</v>
      </c>
      <c r="I41" s="1">
        <f>AVERAGE(Table3[[#This Row],[W1]:[W5]])</f>
        <v>3.1451293018107969E-6</v>
      </c>
      <c r="J41">
        <f>_xlfn.STDEV.P(Table3[[#This Row],[W1]:[W5]])</f>
        <v>6.2553457453088479E-8</v>
      </c>
      <c r="K41" s="1">
        <f>wTask[[#This Row],[Average]]</f>
        <v>607.66953959999989</v>
      </c>
      <c r="L41">
        <f>wOver[[#This Row],[Mean]]</f>
        <v>1.9112000000000001E-3</v>
      </c>
    </row>
    <row r="42" spans="1:12" x14ac:dyDescent="0.45">
      <c r="A42" s="3" t="str">
        <f>wTask[[#This Row],[Heuristic]]</f>
        <v>RR</v>
      </c>
      <c r="B42" s="3">
        <f>wTask[[#This Row],[Variance]]</f>
        <v>0</v>
      </c>
      <c r="C42" s="4">
        <f>wOver[[#This Row],[W0]]/wTask[[#This Row],[W0]]</f>
        <v>7.1129049828528315E-7</v>
      </c>
      <c r="D42" s="3">
        <f>wOver[[#This Row],[W1]]/wTask[[#This Row],[W1]]</f>
        <v>9.9736494911071376E-7</v>
      </c>
      <c r="E42" s="3">
        <f>wOver[[#This Row],[W2]]/wTask[[#This Row],[W2]]</f>
        <v>8.8133217354855131E-7</v>
      </c>
      <c r="F42" s="3">
        <f>wOver[[#This Row],[W3]]/wTask[[#This Row],[W3]]</f>
        <v>8.6123043186777135E-7</v>
      </c>
      <c r="G42" s="3">
        <f>wOver[[#This Row],[W4]]/wTask[[#This Row],[W4]]</f>
        <v>7.248436129921812E-7</v>
      </c>
      <c r="H42" s="3">
        <f>wOver[[#This Row],[W5]]/wTask[[#This Row],[W5]]</f>
        <v>6.9439975391778119E-7</v>
      </c>
      <c r="I42" s="4">
        <f>AVERAGE(Table3[[#This Row],[W1]:[W5]])</f>
        <v>8.318341842873997E-7</v>
      </c>
      <c r="J42" s="3">
        <f>_xlfn.STDEV.P(Table3[[#This Row],[W1]:[W5]])</f>
        <v>1.1049871439323957E-7</v>
      </c>
      <c r="K42" s="4">
        <f>wTask[[#This Row],[Average]]</f>
        <v>551.28931780000005</v>
      </c>
      <c r="L42" s="3">
        <f>wOver[[#This Row],[Mean]]</f>
        <v>4.5859999999999998E-4</v>
      </c>
    </row>
    <row r="43" spans="1:12" x14ac:dyDescent="0.45">
      <c r="A43" t="str">
        <f>wTask[[#This Row],[Heuristic]]</f>
        <v>RR</v>
      </c>
      <c r="B43">
        <f>wTask[[#This Row],[Variance]]</f>
        <v>0.01</v>
      </c>
      <c r="C43" s="1">
        <f>wOver[[#This Row],[W0]]/wTask[[#This Row],[W0]]</f>
        <v>1.1363566781085333E-6</v>
      </c>
      <c r="D43">
        <f>wOver[[#This Row],[W1]]/wTask[[#This Row],[W1]]</f>
        <v>1.0928077869740212E-6</v>
      </c>
      <c r="E43">
        <f>wOver[[#This Row],[W2]]/wTask[[#This Row],[W2]]</f>
        <v>1.1291892443023548E-6</v>
      </c>
      <c r="F43">
        <f>wOver[[#This Row],[W3]]/wTask[[#This Row],[W3]]</f>
        <v>1.0681198965369769E-6</v>
      </c>
      <c r="G43">
        <f>wOver[[#This Row],[W4]]/wTask[[#This Row],[W4]]</f>
        <v>1.1391752100366364E-6</v>
      </c>
      <c r="H43">
        <f>wOver[[#This Row],[W5]]/wTask[[#This Row],[W5]]</f>
        <v>1.4916335000469275E-6</v>
      </c>
      <c r="I43" s="1">
        <f>AVERAGE(Table3[[#This Row],[W1]:[W5]])</f>
        <v>1.1841851275793832E-6</v>
      </c>
      <c r="J43">
        <f>_xlfn.STDEV.P(Table3[[#This Row],[W1]:[W5]])</f>
        <v>1.5581777679109837E-7</v>
      </c>
      <c r="K43" s="1">
        <f>wTask[[#This Row],[Average]]</f>
        <v>559.70932340000013</v>
      </c>
      <c r="L43">
        <f>wOver[[#This Row],[Mean]]</f>
        <v>6.6280000000000006E-4</v>
      </c>
    </row>
    <row r="44" spans="1:12" x14ac:dyDescent="0.45">
      <c r="A44" t="str">
        <f>wTask[[#This Row],[Heuristic]]</f>
        <v>RR</v>
      </c>
      <c r="B44">
        <f>wTask[[#This Row],[Variance]]</f>
        <v>1.7999999999999999E-2</v>
      </c>
      <c r="C44" s="1">
        <f>wOver[[#This Row],[W0]]/wTask[[#This Row],[W0]]</f>
        <v>8.4424345131425798E-7</v>
      </c>
      <c r="D44">
        <f>wOver[[#This Row],[W1]]/wTask[[#This Row],[W1]]</f>
        <v>9.7227157257673901E-7</v>
      </c>
      <c r="E44">
        <f>wOver[[#This Row],[W2]]/wTask[[#This Row],[W2]]</f>
        <v>1.0645330121296924E-6</v>
      </c>
      <c r="F44">
        <f>wOver[[#This Row],[W3]]/wTask[[#This Row],[W3]]</f>
        <v>1.029366114150199E-6</v>
      </c>
      <c r="G44">
        <f>wOver[[#This Row],[W4]]/wTask[[#This Row],[W4]]</f>
        <v>1.0019610083170714E-6</v>
      </c>
      <c r="H44">
        <f>wOver[[#This Row],[W5]]/wTask[[#This Row],[W5]]</f>
        <v>1.0982064459605537E-6</v>
      </c>
      <c r="I44" s="1">
        <f>AVERAGE(Table3[[#This Row],[W1]:[W5]])</f>
        <v>1.033267630626851E-6</v>
      </c>
      <c r="J44">
        <f>_xlfn.STDEV.P(Table3[[#This Row],[W1]:[W5]])</f>
        <v>4.4520600504441456E-8</v>
      </c>
      <c r="K44" s="1">
        <f>wTask[[#This Row],[Average]]</f>
        <v>550.4931272</v>
      </c>
      <c r="L44">
        <f>wOver[[#This Row],[Mean]]</f>
        <v>5.6879999999999995E-4</v>
      </c>
    </row>
    <row r="45" spans="1:12" x14ac:dyDescent="0.45">
      <c r="A45" t="str">
        <f>wTask[[#This Row],[Heuristic]]</f>
        <v>RR</v>
      </c>
      <c r="B45">
        <f>wTask[[#This Row],[Variance]]</f>
        <v>3.1E-2</v>
      </c>
      <c r="C45" s="1">
        <f>wOver[[#This Row],[W0]]/wTask[[#This Row],[W0]]</f>
        <v>1.0095670752687832E-6</v>
      </c>
      <c r="D45">
        <f>wOver[[#This Row],[W1]]/wTask[[#This Row],[W1]]</f>
        <v>1.0627975516349155E-6</v>
      </c>
      <c r="E45">
        <f>wOver[[#This Row],[W2]]/wTask[[#This Row],[W2]]</f>
        <v>1.0617621335377513E-6</v>
      </c>
      <c r="F45">
        <f>wOver[[#This Row],[W3]]/wTask[[#This Row],[W3]]</f>
        <v>1.0856092674001105E-6</v>
      </c>
      <c r="G45">
        <f>wOver[[#This Row],[W4]]/wTask[[#This Row],[W4]]</f>
        <v>1.0244148686866674E-6</v>
      </c>
      <c r="H45">
        <f>wOver[[#This Row],[W5]]/wTask[[#This Row],[W5]]</f>
        <v>1.0530908267333506E-6</v>
      </c>
      <c r="I45" s="1">
        <f>AVERAGE(Table3[[#This Row],[W1]:[W5]])</f>
        <v>1.0575349295985592E-6</v>
      </c>
      <c r="J45">
        <f>_xlfn.STDEV.P(Table3[[#This Row],[W1]:[W5]])</f>
        <v>1.9750551242538288E-8</v>
      </c>
      <c r="K45" s="1">
        <f>wTask[[#This Row],[Average]]</f>
        <v>551.84915060000003</v>
      </c>
      <c r="L45">
        <f>wOver[[#This Row],[Mean]]</f>
        <v>5.8359999999999998E-4</v>
      </c>
    </row>
    <row r="46" spans="1:12" x14ac:dyDescent="0.45">
      <c r="A46" t="str">
        <f>wTask[[#This Row],[Heuristic]]</f>
        <v>RR</v>
      </c>
      <c r="B46">
        <f>wTask[[#This Row],[Variance]]</f>
        <v>5.6000000000000001E-2</v>
      </c>
      <c r="C46" s="1">
        <f>wOver[[#This Row],[W0]]/wTask[[#This Row],[W0]]</f>
        <v>9.759852748628316E-7</v>
      </c>
      <c r="D46">
        <f>wOver[[#This Row],[W1]]/wTask[[#This Row],[W1]]</f>
        <v>1.0602481778827167E-6</v>
      </c>
      <c r="E46">
        <f>wOver[[#This Row],[W2]]/wTask[[#This Row],[W2]]</f>
        <v>1.0550844803428784E-6</v>
      </c>
      <c r="F46">
        <f>wOver[[#This Row],[W3]]/wTask[[#This Row],[W3]]</f>
        <v>1.093107273770011E-6</v>
      </c>
      <c r="G46">
        <f>wOver[[#This Row],[W4]]/wTask[[#This Row],[W4]]</f>
        <v>1.1139040090235251E-6</v>
      </c>
      <c r="H46">
        <f>wOver[[#This Row],[W5]]/wTask[[#This Row],[W5]]</f>
        <v>1.0456778441360476E-6</v>
      </c>
      <c r="I46" s="1">
        <f>AVERAGE(Table3[[#This Row],[W1]:[W5]])</f>
        <v>1.0736043570310355E-6</v>
      </c>
      <c r="J46">
        <f>_xlfn.STDEV.P(Table3[[#This Row],[W1]:[W5]])</f>
        <v>2.5712600757230456E-8</v>
      </c>
      <c r="K46" s="1">
        <f>wTask[[#This Row],[Average]]</f>
        <v>551.43714980000004</v>
      </c>
      <c r="L46">
        <f>wOver[[#This Row],[Mean]]</f>
        <v>5.9199999999999997E-4</v>
      </c>
    </row>
    <row r="47" spans="1:12" x14ac:dyDescent="0.45">
      <c r="A47" t="str">
        <f>wTask[[#This Row],[Heuristic]]</f>
        <v>RR</v>
      </c>
      <c r="B47">
        <f>wTask[[#This Row],[Variance]]</f>
        <v>0.1</v>
      </c>
      <c r="C47" s="1">
        <f>wOver[[#This Row],[W0]]/wTask[[#This Row],[W0]]</f>
        <v>1.101146473596941E-6</v>
      </c>
      <c r="D47">
        <f>wOver[[#This Row],[W1]]/wTask[[#This Row],[W1]]</f>
        <v>1.0860950508919457E-6</v>
      </c>
      <c r="E47">
        <f>wOver[[#This Row],[W2]]/wTask[[#This Row],[W2]]</f>
        <v>1.0749621816330466E-6</v>
      </c>
      <c r="F47">
        <f>wOver[[#This Row],[W3]]/wTask[[#This Row],[W3]]</f>
        <v>1.047187295946919E-6</v>
      </c>
      <c r="G47">
        <f>wOver[[#This Row],[W4]]/wTask[[#This Row],[W4]]</f>
        <v>1.0620807704383676E-6</v>
      </c>
      <c r="H47">
        <f>wOver[[#This Row],[W5]]/wTask[[#This Row],[W5]]</f>
        <v>1.0528827260169353E-6</v>
      </c>
      <c r="I47" s="1">
        <f>AVERAGE(Table3[[#This Row],[W1]:[W5]])</f>
        <v>1.0646416049854429E-6</v>
      </c>
      <c r="J47">
        <f>_xlfn.STDEV.P(Table3[[#This Row],[W1]:[W5]])</f>
        <v>1.4256553972037623E-8</v>
      </c>
      <c r="K47" s="1">
        <f>wTask[[#This Row],[Average]]</f>
        <v>555.4847567999999</v>
      </c>
      <c r="L47">
        <f>wOver[[#This Row],[Mean]]</f>
        <v>5.9139999999999996E-4</v>
      </c>
    </row>
    <row r="48" spans="1:12" x14ac:dyDescent="0.45">
      <c r="A48" t="str">
        <f>wTask[[#This Row],[Heuristic]]</f>
        <v>RR</v>
      </c>
      <c r="B48">
        <f>wTask[[#This Row],[Variance]]</f>
        <v>0.18</v>
      </c>
      <c r="C48" s="1">
        <f>wOver[[#This Row],[W0]]/wTask[[#This Row],[W0]]</f>
        <v>1.0689782749529686E-6</v>
      </c>
      <c r="D48">
        <f>wOver[[#This Row],[W1]]/wTask[[#This Row],[W1]]</f>
        <v>1.0829074132922371E-6</v>
      </c>
      <c r="E48">
        <f>wOver[[#This Row],[W2]]/wTask[[#This Row],[W2]]</f>
        <v>1.1031671082276278E-6</v>
      </c>
      <c r="F48">
        <f>wOver[[#This Row],[W3]]/wTask[[#This Row],[W3]]</f>
        <v>1.0541048503670067E-6</v>
      </c>
      <c r="G48">
        <f>wOver[[#This Row],[W4]]/wTask[[#This Row],[W4]]</f>
        <v>1.0831797404887338E-6</v>
      </c>
      <c r="H48">
        <f>wOver[[#This Row],[W5]]/wTask[[#This Row],[W5]]</f>
        <v>1.0908959614721367E-6</v>
      </c>
      <c r="I48" s="1">
        <f>AVERAGE(Table3[[#This Row],[W1]:[W5]])</f>
        <v>1.0828510147695485E-6</v>
      </c>
      <c r="J48">
        <f>_xlfn.STDEV.P(Table3[[#This Row],[W1]:[W5]])</f>
        <v>1.6148795807085274E-8</v>
      </c>
      <c r="K48" s="1">
        <f>wTask[[#This Row],[Average]]</f>
        <v>555.03786300000013</v>
      </c>
      <c r="L48">
        <f>wOver[[#This Row],[Mean]]</f>
        <v>6.0100000000000008E-4</v>
      </c>
    </row>
    <row r="49" spans="1:12" x14ac:dyDescent="0.45">
      <c r="A49" t="str">
        <f>wTask[[#This Row],[Heuristic]]</f>
        <v>RR</v>
      </c>
      <c r="B49">
        <f>wTask[[#This Row],[Variance]]</f>
        <v>0.31</v>
      </c>
      <c r="C49" s="1">
        <f>wOver[[#This Row],[W0]]/wTask[[#This Row],[W0]]</f>
        <v>1.0172327980624606E-6</v>
      </c>
      <c r="D49">
        <f>wOver[[#This Row],[W1]]/wTask[[#This Row],[W1]]</f>
        <v>1.068088240649333E-6</v>
      </c>
      <c r="E49">
        <f>wOver[[#This Row],[W2]]/wTask[[#This Row],[W2]]</f>
        <v>1.0288646987020733E-6</v>
      </c>
      <c r="F49">
        <f>wOver[[#This Row],[W3]]/wTask[[#This Row],[W3]]</f>
        <v>1.056037400578125E-6</v>
      </c>
      <c r="G49">
        <f>wOver[[#This Row],[W4]]/wTask[[#This Row],[W4]]</f>
        <v>1.0795862090237807E-6</v>
      </c>
      <c r="H49">
        <f>wOver[[#This Row],[W5]]/wTask[[#This Row],[W5]]</f>
        <v>1.0665148473426081E-6</v>
      </c>
      <c r="I49" s="1">
        <f>AVERAGE(Table3[[#This Row],[W1]:[W5]])</f>
        <v>1.059818279259184E-6</v>
      </c>
      <c r="J49">
        <f>_xlfn.STDEV.P(Table3[[#This Row],[W1]:[W5]])</f>
        <v>1.7183867583142907E-8</v>
      </c>
      <c r="K49" s="1">
        <f>wTask[[#This Row],[Average]]</f>
        <v>568.93618519999995</v>
      </c>
      <c r="L49">
        <f>wOver[[#This Row],[Mean]]</f>
        <v>6.0300000000000002E-4</v>
      </c>
    </row>
    <row r="50" spans="1:12" x14ac:dyDescent="0.45">
      <c r="A50" t="str">
        <f>wTask[[#This Row],[Heuristic]]</f>
        <v>RR</v>
      </c>
      <c r="B50">
        <f>wTask[[#This Row],[Variance]]</f>
        <v>0.56000000000000005</v>
      </c>
      <c r="C50" s="1">
        <f>wOver[[#This Row],[W0]]/wTask[[#This Row],[W0]]</f>
        <v>9.6081506633864355E-7</v>
      </c>
      <c r="D50">
        <f>wOver[[#This Row],[W1]]/wTask[[#This Row],[W1]]</f>
        <v>9.9518003029331459E-7</v>
      </c>
      <c r="E50">
        <f>wOver[[#This Row],[W2]]/wTask[[#This Row],[W2]]</f>
        <v>1.0190260134614277E-6</v>
      </c>
      <c r="F50">
        <f>wOver[[#This Row],[W3]]/wTask[[#This Row],[W3]]</f>
        <v>1.0414633000376044E-6</v>
      </c>
      <c r="G50">
        <f>wOver[[#This Row],[W4]]/wTask[[#This Row],[W4]]</f>
        <v>1.0016478162680744E-6</v>
      </c>
      <c r="H50">
        <f>wOver[[#This Row],[W5]]/wTask[[#This Row],[W5]]</f>
        <v>1.0528918905593572E-6</v>
      </c>
      <c r="I50" s="1">
        <f>AVERAGE(Table3[[#This Row],[W1]:[W5]])</f>
        <v>1.0220418101239556E-6</v>
      </c>
      <c r="J50">
        <f>_xlfn.STDEV.P(Table3[[#This Row],[W1]:[W5]])</f>
        <v>2.2250784093644782E-8</v>
      </c>
      <c r="K50" s="1">
        <f>wTask[[#This Row],[Average]]</f>
        <v>590.10327919999997</v>
      </c>
      <c r="L50">
        <f>wOver[[#This Row],[Mean]]</f>
        <v>6.0300000000000002E-4</v>
      </c>
    </row>
    <row r="51" spans="1:12" x14ac:dyDescent="0.45">
      <c r="A51" t="str">
        <f>wTask[[#This Row],[Heuristic]]</f>
        <v>RR</v>
      </c>
      <c r="B51">
        <f>wTask[[#This Row],[Variance]]</f>
        <v>1</v>
      </c>
      <c r="C51" s="1">
        <f>wOver[[#This Row],[W0]]/wTask[[#This Row],[W0]]</f>
        <v>9.8013738974245418E-7</v>
      </c>
      <c r="D51">
        <f>wOver[[#This Row],[W1]]/wTask[[#This Row],[W1]]</f>
        <v>1.0126125689391305E-6</v>
      </c>
      <c r="E51">
        <f>wOver[[#This Row],[W2]]/wTask[[#This Row],[W2]]</f>
        <v>1.0201524260996274E-6</v>
      </c>
      <c r="F51">
        <f>wOver[[#This Row],[W3]]/wTask[[#This Row],[W3]]</f>
        <v>1.105950345870834E-6</v>
      </c>
      <c r="G51">
        <f>wOver[[#This Row],[W4]]/wTask[[#This Row],[W4]]</f>
        <v>1.0024886149267882E-6</v>
      </c>
      <c r="H51">
        <f>wOver[[#This Row],[W5]]/wTask[[#This Row],[W5]]</f>
        <v>9.6751283141977525E-7</v>
      </c>
      <c r="I51" s="1">
        <f>AVERAGE(Table3[[#This Row],[W1]:[W5]])</f>
        <v>1.0217433574512311E-6</v>
      </c>
      <c r="J51">
        <f>_xlfn.STDEV.P(Table3[[#This Row],[W1]:[W5]])</f>
        <v>4.5800467952736816E-8</v>
      </c>
      <c r="K51" s="1">
        <f>wTask[[#This Row],[Average]]</f>
        <v>600.65610219999996</v>
      </c>
      <c r="L51">
        <f>wOver[[#This Row],[Mean]]</f>
        <v>6.1300000000000005E-4</v>
      </c>
    </row>
    <row r="52" spans="1:12" x14ac:dyDescent="0.45">
      <c r="A52" s="3" t="str">
        <f>wTask[[#This Row],[Heuristic]]</f>
        <v>LBW</v>
      </c>
      <c r="B52" s="3">
        <f>wTask[[#This Row],[Variance]]</f>
        <v>0</v>
      </c>
      <c r="C52" s="4">
        <f>wOver[[#This Row],[W0]]/wTask[[#This Row],[W0]]</f>
        <v>1.1426555595271151E-6</v>
      </c>
      <c r="D52" s="3">
        <f>wOver[[#This Row],[W1]]/wTask[[#This Row],[W1]]</f>
        <v>6.9460675357322618E-7</v>
      </c>
      <c r="E52" s="3">
        <f>wOver[[#This Row],[W2]]/wTask[[#This Row],[W2]]</f>
        <v>7.8964265251221422E-7</v>
      </c>
      <c r="F52" s="3">
        <f>wOver[[#This Row],[W3]]/wTask[[#This Row],[W3]]</f>
        <v>7.0003203084061117E-7</v>
      </c>
      <c r="G52" s="3">
        <f>wOver[[#This Row],[W4]]/wTask[[#This Row],[W4]]</f>
        <v>9.006424692115827E-7</v>
      </c>
      <c r="H52" s="3">
        <f>wOver[[#This Row],[W5]]/wTask[[#This Row],[W5]]</f>
        <v>7.2963525015276159E-7</v>
      </c>
      <c r="I52" s="4">
        <f>AVERAGE(Table3[[#This Row],[W1]:[W5]])</f>
        <v>7.6291183125807905E-7</v>
      </c>
      <c r="J52" s="3">
        <f>_xlfn.STDEV.P(Table3[[#This Row],[W1]:[W5]])</f>
        <v>7.669556600499506E-8</v>
      </c>
      <c r="K52" s="4">
        <f>wTask[[#This Row],[Average]]</f>
        <v>549.1742326000001</v>
      </c>
      <c r="L52" s="3">
        <f>wOver[[#This Row],[Mean]]</f>
        <v>4.1899999999999999E-4</v>
      </c>
    </row>
    <row r="53" spans="1:12" x14ac:dyDescent="0.45">
      <c r="A53" t="str">
        <f>wTask[[#This Row],[Heuristic]]</f>
        <v>LBW</v>
      </c>
      <c r="B53">
        <f>wTask[[#This Row],[Variance]]</f>
        <v>0.01</v>
      </c>
      <c r="C53" s="1">
        <f>wOver[[#This Row],[W0]]/wTask[[#This Row],[W0]]</f>
        <v>9.5633044698298784E-7</v>
      </c>
      <c r="D53">
        <f>wOver[[#This Row],[W1]]/wTask[[#This Row],[W1]]</f>
        <v>1.2199158111627894E-6</v>
      </c>
      <c r="E53">
        <f>wOver[[#This Row],[W2]]/wTask[[#This Row],[W2]]</f>
        <v>1.160274247923944E-6</v>
      </c>
      <c r="F53">
        <f>wOver[[#This Row],[W3]]/wTask[[#This Row],[W3]]</f>
        <v>1.0141580685998502E-6</v>
      </c>
      <c r="G53">
        <f>wOver[[#This Row],[W4]]/wTask[[#This Row],[W4]]</f>
        <v>1.0851723556606997E-6</v>
      </c>
      <c r="H53">
        <f>wOver[[#This Row],[W5]]/wTask[[#This Row],[W5]]</f>
        <v>1.1453938339466413E-6</v>
      </c>
      <c r="I53" s="1">
        <f>AVERAGE(Table3[[#This Row],[W1]:[W5]])</f>
        <v>1.1249828634587848E-6</v>
      </c>
      <c r="J53">
        <f>_xlfn.STDEV.P(Table3[[#This Row],[W1]:[W5]])</f>
        <v>7.0059069049140859E-8</v>
      </c>
      <c r="K53" s="1">
        <f>wTask[[#This Row],[Average]]</f>
        <v>552.01530019999996</v>
      </c>
      <c r="L53">
        <f>wOver[[#This Row],[Mean]]</f>
        <v>6.2100000000000002E-4</v>
      </c>
    </row>
    <row r="54" spans="1:12" x14ac:dyDescent="0.45">
      <c r="A54" t="str">
        <f>wTask[[#This Row],[Heuristic]]</f>
        <v>LBW</v>
      </c>
      <c r="B54">
        <f>wTask[[#This Row],[Variance]]</f>
        <v>1.7999999999999999E-2</v>
      </c>
      <c r="C54" s="1">
        <f>wOver[[#This Row],[W0]]/wTask[[#This Row],[W0]]</f>
        <v>1.0535923366053129E-6</v>
      </c>
      <c r="D54">
        <f>wOver[[#This Row],[W1]]/wTask[[#This Row],[W1]]</f>
        <v>1.151247811346223E-6</v>
      </c>
      <c r="E54">
        <f>wOver[[#This Row],[W2]]/wTask[[#This Row],[W2]]</f>
        <v>1.1351376388278528E-6</v>
      </c>
      <c r="F54">
        <f>wOver[[#This Row],[W3]]/wTask[[#This Row],[W3]]</f>
        <v>1.1901910696024479E-6</v>
      </c>
      <c r="G54">
        <f>wOver[[#This Row],[W4]]/wTask[[#This Row],[W4]]</f>
        <v>1.2090044657480468E-6</v>
      </c>
      <c r="H54">
        <f>wOver[[#This Row],[W5]]/wTask[[#This Row],[W5]]</f>
        <v>1.2180908059184698E-6</v>
      </c>
      <c r="I54" s="1">
        <f>AVERAGE(Table3[[#This Row],[W1]:[W5]])</f>
        <v>1.1807343582886082E-6</v>
      </c>
      <c r="J54">
        <f>_xlfn.STDEV.P(Table3[[#This Row],[W1]:[W5]])</f>
        <v>3.2350115364036697E-8</v>
      </c>
      <c r="K54" s="1">
        <f>wTask[[#This Row],[Average]]</f>
        <v>552.87702560000002</v>
      </c>
      <c r="L54">
        <f>wOver[[#This Row],[Mean]]</f>
        <v>6.5280000000000004E-4</v>
      </c>
    </row>
    <row r="55" spans="1:12" x14ac:dyDescent="0.45">
      <c r="A55" t="str">
        <f>wTask[[#This Row],[Heuristic]]</f>
        <v>LBW</v>
      </c>
      <c r="B55">
        <f>wTask[[#This Row],[Variance]]</f>
        <v>3.1E-2</v>
      </c>
      <c r="C55" s="1">
        <f>wOver[[#This Row],[W0]]/wTask[[#This Row],[W0]]</f>
        <v>1.0899112432445987E-6</v>
      </c>
      <c r="D55">
        <f>wOver[[#This Row],[W1]]/wTask[[#This Row],[W1]]</f>
        <v>1.107121228609428E-6</v>
      </c>
      <c r="E55">
        <f>wOver[[#This Row],[W2]]/wTask[[#This Row],[W2]]</f>
        <v>1.100072466865985E-6</v>
      </c>
      <c r="F55">
        <f>wOver[[#This Row],[W3]]/wTask[[#This Row],[W3]]</f>
        <v>1.0786040072082525E-6</v>
      </c>
      <c r="G55">
        <f>wOver[[#This Row],[W4]]/wTask[[#This Row],[W4]]</f>
        <v>1.1256909968533783E-6</v>
      </c>
      <c r="H55">
        <f>wOver[[#This Row],[W5]]/wTask[[#This Row],[W5]]</f>
        <v>1.2149615060360084E-6</v>
      </c>
      <c r="I55" s="1">
        <f>AVERAGE(Table3[[#This Row],[W1]:[W5]])</f>
        <v>1.1252900411146104E-6</v>
      </c>
      <c r="J55">
        <f>_xlfn.STDEV.P(Table3[[#This Row],[W1]:[W5]])</f>
        <v>4.7300634134000689E-8</v>
      </c>
      <c r="K55" s="1">
        <f>wTask[[#This Row],[Average]]</f>
        <v>552.03434040000013</v>
      </c>
      <c r="L55">
        <f>wOver[[#This Row],[Mean]]</f>
        <v>6.2119999999999992E-4</v>
      </c>
    </row>
    <row r="56" spans="1:12" x14ac:dyDescent="0.45">
      <c r="A56" t="str">
        <f>wTask[[#This Row],[Heuristic]]</f>
        <v>LBW</v>
      </c>
      <c r="B56">
        <f>wTask[[#This Row],[Variance]]</f>
        <v>5.6000000000000001E-2</v>
      </c>
      <c r="C56" s="1">
        <f>wOver[[#This Row],[W0]]/wTask[[#This Row],[W0]]</f>
        <v>1.1059807728166503E-6</v>
      </c>
      <c r="D56">
        <f>wOver[[#This Row],[W1]]/wTask[[#This Row],[W1]]</f>
        <v>1.1854975711130595E-6</v>
      </c>
      <c r="E56">
        <f>wOver[[#This Row],[W2]]/wTask[[#This Row],[W2]]</f>
        <v>1.162170273158553E-6</v>
      </c>
      <c r="F56">
        <f>wOver[[#This Row],[W3]]/wTask[[#This Row],[W3]]</f>
        <v>1.2609818108736577E-6</v>
      </c>
      <c r="G56">
        <f>wOver[[#This Row],[W4]]/wTask[[#This Row],[W4]]</f>
        <v>1.2019371855480559E-6</v>
      </c>
      <c r="H56">
        <f>wOver[[#This Row],[W5]]/wTask[[#This Row],[W5]]</f>
        <v>1.2608672378386788E-6</v>
      </c>
      <c r="I56" s="1">
        <f>AVERAGE(Table3[[#This Row],[W1]:[W5]])</f>
        <v>1.2142908157064009E-6</v>
      </c>
      <c r="J56">
        <f>_xlfn.STDEV.P(Table3[[#This Row],[W1]:[W5]])</f>
        <v>4.0118888808480508E-8</v>
      </c>
      <c r="K56" s="1">
        <f>wTask[[#This Row],[Average]]</f>
        <v>551.4258456</v>
      </c>
      <c r="L56">
        <f>wOver[[#This Row],[Mean]]</f>
        <v>6.6960000000000001E-4</v>
      </c>
    </row>
    <row r="57" spans="1:12" x14ac:dyDescent="0.45">
      <c r="A57" t="str">
        <f>wTask[[#This Row],[Heuristic]]</f>
        <v>LBW</v>
      </c>
      <c r="B57">
        <f>wTask[[#This Row],[Variance]]</f>
        <v>0.1</v>
      </c>
      <c r="C57" s="1">
        <f>wOver[[#This Row],[W0]]/wTask[[#This Row],[W0]]</f>
        <v>1.1419544366144463E-6</v>
      </c>
      <c r="D57">
        <f>wOver[[#This Row],[W1]]/wTask[[#This Row],[W1]]</f>
        <v>1.2152526088880313E-6</v>
      </c>
      <c r="E57">
        <f>wOver[[#This Row],[W2]]/wTask[[#This Row],[W2]]</f>
        <v>1.2256210627170461E-6</v>
      </c>
      <c r="F57">
        <f>wOver[[#This Row],[W3]]/wTask[[#This Row],[W3]]</f>
        <v>1.1955000106795005E-6</v>
      </c>
      <c r="G57">
        <f>wOver[[#This Row],[W4]]/wTask[[#This Row],[W4]]</f>
        <v>1.1639331354647003E-6</v>
      </c>
      <c r="H57">
        <f>wOver[[#This Row],[W5]]/wTask[[#This Row],[W5]]</f>
        <v>1.1576430217666028E-6</v>
      </c>
      <c r="I57" s="1">
        <f>AVERAGE(Table3[[#This Row],[W1]:[W5]])</f>
        <v>1.1915899679031763E-6</v>
      </c>
      <c r="J57">
        <f>_xlfn.STDEV.P(Table3[[#This Row],[W1]:[W5]])</f>
        <v>2.7020806648398889E-8</v>
      </c>
      <c r="K57" s="1">
        <f>wTask[[#This Row],[Average]]</f>
        <v>556.05711780000001</v>
      </c>
      <c r="L57">
        <f>wOver[[#This Row],[Mean]]</f>
        <v>6.6259999999999995E-4</v>
      </c>
    </row>
    <row r="58" spans="1:12" x14ac:dyDescent="0.45">
      <c r="A58" t="str">
        <f>wTask[[#This Row],[Heuristic]]</f>
        <v>LBW</v>
      </c>
      <c r="B58">
        <f>wTask[[#This Row],[Variance]]</f>
        <v>0.18</v>
      </c>
      <c r="C58" s="1">
        <f>wOver[[#This Row],[W0]]/wTask[[#This Row],[W0]]</f>
        <v>1.1203884692569016E-6</v>
      </c>
      <c r="D58">
        <f>wOver[[#This Row],[W1]]/wTask[[#This Row],[W1]]</f>
        <v>1.161823286570036E-6</v>
      </c>
      <c r="E58">
        <f>wOver[[#This Row],[W2]]/wTask[[#This Row],[W2]]</f>
        <v>1.1616623640965517E-6</v>
      </c>
      <c r="F58">
        <f>wOver[[#This Row],[W3]]/wTask[[#This Row],[W3]]</f>
        <v>1.1424804857305161E-6</v>
      </c>
      <c r="G58">
        <f>wOver[[#This Row],[W4]]/wTask[[#This Row],[W4]]</f>
        <v>1.140879410862292E-6</v>
      </c>
      <c r="H58">
        <f>wOver[[#This Row],[W5]]/wTask[[#This Row],[W5]]</f>
        <v>1.174909709450235E-6</v>
      </c>
      <c r="I58" s="1">
        <f>AVERAGE(Table3[[#This Row],[W1]:[W5]])</f>
        <v>1.1563510513419263E-6</v>
      </c>
      <c r="J58">
        <f>_xlfn.STDEV.P(Table3[[#This Row],[W1]:[W5]])</f>
        <v>1.2917766384803506E-8</v>
      </c>
      <c r="K58" s="1">
        <f>wTask[[#This Row],[Average]]</f>
        <v>554.67352319999998</v>
      </c>
      <c r="L58">
        <f>wOver[[#This Row],[Mean]]</f>
        <v>6.4139999999999998E-4</v>
      </c>
    </row>
    <row r="59" spans="1:12" x14ac:dyDescent="0.45">
      <c r="A59" t="str">
        <f>wTask[[#This Row],[Heuristic]]</f>
        <v>LBW</v>
      </c>
      <c r="B59">
        <f>wTask[[#This Row],[Variance]]</f>
        <v>0.31</v>
      </c>
      <c r="C59" s="1">
        <f>wOver[[#This Row],[W0]]/wTask[[#This Row],[W0]]</f>
        <v>1.1226244321948271E-6</v>
      </c>
      <c r="D59">
        <f>wOver[[#This Row],[W1]]/wTask[[#This Row],[W1]]</f>
        <v>1.1311298868189155E-6</v>
      </c>
      <c r="E59">
        <f>wOver[[#This Row],[W2]]/wTask[[#This Row],[W2]]</f>
        <v>1.2100923596855378E-6</v>
      </c>
      <c r="F59">
        <f>wOver[[#This Row],[W3]]/wTask[[#This Row],[W3]]</f>
        <v>1.1774420721113356E-6</v>
      </c>
      <c r="G59">
        <f>wOver[[#This Row],[W4]]/wTask[[#This Row],[W4]]</f>
        <v>1.1561094361420955E-6</v>
      </c>
      <c r="H59">
        <f>wOver[[#This Row],[W5]]/wTask[[#This Row],[W5]]</f>
        <v>1.2055498820532401E-6</v>
      </c>
      <c r="I59" s="1">
        <f>AVERAGE(Table3[[#This Row],[W1]:[W5]])</f>
        <v>1.1760647273622249E-6</v>
      </c>
      <c r="J59">
        <f>_xlfn.STDEV.P(Table3[[#This Row],[W1]:[W5]])</f>
        <v>2.9821149305733959E-8</v>
      </c>
      <c r="K59" s="1">
        <f>wTask[[#This Row],[Average]]</f>
        <v>570.71657119999998</v>
      </c>
      <c r="L59">
        <f>wOver[[#This Row],[Mean]]</f>
        <v>6.7119999999999994E-4</v>
      </c>
    </row>
    <row r="60" spans="1:12" x14ac:dyDescent="0.45">
      <c r="A60" t="str">
        <f>wTask[[#This Row],[Heuristic]]</f>
        <v>LBW</v>
      </c>
      <c r="B60">
        <f>wTask[[#This Row],[Variance]]</f>
        <v>0.56000000000000005</v>
      </c>
      <c r="C60" s="1">
        <f>wOver[[#This Row],[W0]]/wTask[[#This Row],[W0]]</f>
        <v>1.0703461034543025E-6</v>
      </c>
      <c r="D60">
        <f>wOver[[#This Row],[W1]]/wTask[[#This Row],[W1]]</f>
        <v>1.1177769517715666E-6</v>
      </c>
      <c r="E60">
        <f>wOver[[#This Row],[W2]]/wTask[[#This Row],[W2]]</f>
        <v>1.1954919951901586E-6</v>
      </c>
      <c r="F60">
        <f>wOver[[#This Row],[W3]]/wTask[[#This Row],[W3]]</f>
        <v>1.1878830219172816E-6</v>
      </c>
      <c r="G60">
        <f>wOver[[#This Row],[W4]]/wTask[[#This Row],[W4]]</f>
        <v>1.1522052852244294E-6</v>
      </c>
      <c r="H60">
        <f>wOver[[#This Row],[W5]]/wTask[[#This Row],[W5]]</f>
        <v>1.1943667561469289E-6</v>
      </c>
      <c r="I60" s="1">
        <f>AVERAGE(Table3[[#This Row],[W1]:[W5]])</f>
        <v>1.1695448020500729E-6</v>
      </c>
      <c r="J60">
        <f>_xlfn.STDEV.P(Table3[[#This Row],[W1]:[W5]])</f>
        <v>3.0352086291186138E-8</v>
      </c>
      <c r="K60" s="1">
        <f>wTask[[#This Row],[Average]]</f>
        <v>596.11909020000007</v>
      </c>
      <c r="L60">
        <f>wOver[[#This Row],[Mean]]</f>
        <v>6.9720000000000003E-4</v>
      </c>
    </row>
    <row r="61" spans="1:12" x14ac:dyDescent="0.45">
      <c r="A61" t="str">
        <f>wTask[[#This Row],[Heuristic]]</f>
        <v>LBW</v>
      </c>
      <c r="B61">
        <f>wTask[[#This Row],[Variance]]</f>
        <v>1</v>
      </c>
      <c r="C61" s="1">
        <f>wOver[[#This Row],[W0]]/wTask[[#This Row],[W0]]</f>
        <v>1.1515793843137885E-6</v>
      </c>
      <c r="D61">
        <f>wOver[[#This Row],[W1]]/wTask[[#This Row],[W1]]</f>
        <v>1.1409208902610025E-6</v>
      </c>
      <c r="E61">
        <f>wOver[[#This Row],[W2]]/wTask[[#This Row],[W2]]</f>
        <v>1.135744462968353E-6</v>
      </c>
      <c r="F61">
        <f>wOver[[#This Row],[W3]]/wTask[[#This Row],[W3]]</f>
        <v>1.2079942385982032E-6</v>
      </c>
      <c r="G61">
        <f>wOver[[#This Row],[W4]]/wTask[[#This Row],[W4]]</f>
        <v>1.1915094894677373E-6</v>
      </c>
      <c r="H61">
        <f>wOver[[#This Row],[W5]]/wTask[[#This Row],[W5]]</f>
        <v>1.0641279911110912E-6</v>
      </c>
      <c r="I61" s="1">
        <f>AVERAGE(Table3[[#This Row],[W1]:[W5]])</f>
        <v>1.1480594144812774E-6</v>
      </c>
      <c r="J61">
        <f>_xlfn.STDEV.P(Table3[[#This Row],[W1]:[W5]])</f>
        <v>5.0452338986434277E-8</v>
      </c>
      <c r="K61" s="1">
        <f>wTask[[#This Row],[Average]]</f>
        <v>605.65345599999989</v>
      </c>
      <c r="L61">
        <f>wOver[[#This Row],[Mean]]</f>
        <v>6.9519999999999988E-4</v>
      </c>
    </row>
    <row r="62" spans="1:12" x14ac:dyDescent="0.45">
      <c r="A62" s="3" t="str">
        <f>wTask[[#This Row],[Heuristic]]</f>
        <v>WS</v>
      </c>
      <c r="B62" s="3">
        <f>wTask[[#This Row],[Variance]]</f>
        <v>0</v>
      </c>
      <c r="C62" s="4">
        <f>wOver[[#This Row],[W0]]/wTask[[#This Row],[W0]]</f>
        <v>7.521423610505019E-7</v>
      </c>
      <c r="D62" s="3">
        <f>wOver[[#This Row],[W1]]/wTask[[#This Row],[W1]]</f>
        <v>6.2976791647131123E-7</v>
      </c>
      <c r="E62" s="3">
        <f>wOver[[#This Row],[W2]]/wTask[[#This Row],[W2]]</f>
        <v>7.0433015445050303E-7</v>
      </c>
      <c r="F62" s="3">
        <f>wOver[[#This Row],[W3]]/wTask[[#This Row],[W3]]</f>
        <v>1.1027095262549144E-6</v>
      </c>
      <c r="G62" s="3">
        <f>wOver[[#This Row],[W4]]/wTask[[#This Row],[W4]]</f>
        <v>7.1391420252140438E-7</v>
      </c>
      <c r="H62" s="3">
        <f>wOver[[#This Row],[W5]]/wTask[[#This Row],[W5]]</f>
        <v>6.339437888690647E-7</v>
      </c>
      <c r="I62" s="4">
        <f>AVERAGE(Table3[[#This Row],[W1]:[W5]])</f>
        <v>7.5693311771343962E-7</v>
      </c>
      <c r="J62" s="3">
        <f>_xlfn.STDEV.P(Table3[[#This Row],[W1]:[W5]])</f>
        <v>1.7633853063282741E-7</v>
      </c>
      <c r="K62" s="4">
        <f>wTask[[#This Row],[Average]]</f>
        <v>550.06751340000005</v>
      </c>
      <c r="L62" s="3">
        <f>wOver[[#This Row],[Mean]]</f>
        <v>4.1640000000000004E-4</v>
      </c>
    </row>
    <row r="63" spans="1:12" x14ac:dyDescent="0.45">
      <c r="A63" t="str">
        <f>wTask[[#This Row],[Heuristic]]</f>
        <v>WS</v>
      </c>
      <c r="B63">
        <f>wTask[[#This Row],[Variance]]</f>
        <v>0.01</v>
      </c>
      <c r="C63" s="1">
        <f>wOver[[#This Row],[W0]]/wTask[[#This Row],[W0]]</f>
        <v>8.466658278856856E-7</v>
      </c>
      <c r="D63">
        <f>wOver[[#This Row],[W1]]/wTask[[#This Row],[W1]]</f>
        <v>1.0685189345038312E-6</v>
      </c>
      <c r="E63">
        <f>wOver[[#This Row],[W2]]/wTask[[#This Row],[W2]]</f>
        <v>1.0434558910688668E-6</v>
      </c>
      <c r="F63">
        <f>wOver[[#This Row],[W3]]/wTask[[#This Row],[W3]]</f>
        <v>9.4464899217765179E-7</v>
      </c>
      <c r="G63">
        <f>wOver[[#This Row],[W4]]/wTask[[#This Row],[W4]]</f>
        <v>8.8593208281235825E-7</v>
      </c>
      <c r="H63">
        <f>wOver[[#This Row],[W5]]/wTask[[#This Row],[W5]]</f>
        <v>8.8639877579664465E-7</v>
      </c>
      <c r="I63" s="1">
        <f>AVERAGE(Table3[[#This Row],[W1]:[W5]])</f>
        <v>9.6579093527187044E-7</v>
      </c>
      <c r="J63">
        <f>_xlfn.STDEV.P(Table3[[#This Row],[W1]:[W5]])</f>
        <v>7.7087509033876713E-8</v>
      </c>
      <c r="K63" s="1">
        <f>wTask[[#This Row],[Average]]</f>
        <v>551.48857219999991</v>
      </c>
      <c r="L63">
        <f>wOver[[#This Row],[Mean]]</f>
        <v>5.3260000000000004E-4</v>
      </c>
    </row>
    <row r="64" spans="1:12" x14ac:dyDescent="0.45">
      <c r="A64" t="str">
        <f>wTask[[#This Row],[Heuristic]]</f>
        <v>WS</v>
      </c>
      <c r="B64">
        <f>wTask[[#This Row],[Variance]]</f>
        <v>1.7999999999999999E-2</v>
      </c>
      <c r="C64" s="1">
        <f>wOver[[#This Row],[W0]]/wTask[[#This Row],[W0]]</f>
        <v>9.4564490351454206E-7</v>
      </c>
      <c r="D64">
        <f>wOver[[#This Row],[W1]]/wTask[[#This Row],[W1]]</f>
        <v>9.3651988527226432E-7</v>
      </c>
      <c r="E64">
        <f>wOver[[#This Row],[W2]]/wTask[[#This Row],[W2]]</f>
        <v>1.0092511359465188E-6</v>
      </c>
      <c r="F64">
        <f>wOver[[#This Row],[W3]]/wTask[[#This Row],[W3]]</f>
        <v>9.6200855176055454E-7</v>
      </c>
      <c r="G64">
        <f>wOver[[#This Row],[W4]]/wTask[[#This Row],[W4]]</f>
        <v>9.4246000897069982E-7</v>
      </c>
      <c r="H64">
        <f>wOver[[#This Row],[W5]]/wTask[[#This Row],[W5]]</f>
        <v>1.0678032417460336E-6</v>
      </c>
      <c r="I64" s="1">
        <f>AVERAGE(Table3[[#This Row],[W1]:[W5]])</f>
        <v>9.8360856473921405E-7</v>
      </c>
      <c r="J64">
        <f>_xlfn.STDEV.P(Table3[[#This Row],[W1]:[W5]])</f>
        <v>4.9241025640939431E-8</v>
      </c>
      <c r="K64" s="1">
        <f>wTask[[#This Row],[Average]]</f>
        <v>552.8702522000001</v>
      </c>
      <c r="L64">
        <f>wOver[[#This Row],[Mean]]</f>
        <v>5.4379999999999999E-4</v>
      </c>
    </row>
    <row r="65" spans="1:12" x14ac:dyDescent="0.45">
      <c r="A65" t="str">
        <f>wTask[[#This Row],[Heuristic]]</f>
        <v>WS</v>
      </c>
      <c r="B65">
        <f>wTask[[#This Row],[Variance]]</f>
        <v>3.1E-2</v>
      </c>
      <c r="C65" s="1">
        <f>wOver[[#This Row],[W0]]/wTask[[#This Row],[W0]]</f>
        <v>9.1764008264799729E-7</v>
      </c>
      <c r="D65">
        <f>wOver[[#This Row],[W1]]/wTask[[#This Row],[W1]]</f>
        <v>9.7386617097047487E-7</v>
      </c>
      <c r="E65">
        <f>wOver[[#This Row],[W2]]/wTask[[#This Row],[W2]]</f>
        <v>1.0445502813041794E-6</v>
      </c>
      <c r="F65">
        <f>wOver[[#This Row],[W3]]/wTask[[#This Row],[W3]]</f>
        <v>1.0146895741465603E-6</v>
      </c>
      <c r="G65">
        <f>wOver[[#This Row],[W4]]/wTask[[#This Row],[W4]]</f>
        <v>1.0277441263952731E-6</v>
      </c>
      <c r="H65">
        <f>wOver[[#This Row],[W5]]/wTask[[#This Row],[W5]]</f>
        <v>9.8038419979758246E-7</v>
      </c>
      <c r="I65" s="1">
        <f>AVERAGE(Table3[[#This Row],[W1]:[W5]])</f>
        <v>1.0082468705228138E-6</v>
      </c>
      <c r="J65">
        <f>_xlfn.STDEV.P(Table3[[#This Row],[W1]:[W5]])</f>
        <v>2.7195403922541827E-8</v>
      </c>
      <c r="K65" s="1">
        <f>wTask[[#This Row],[Average]]</f>
        <v>552.64356340000006</v>
      </c>
      <c r="L65">
        <f>wOver[[#This Row],[Mean]]</f>
        <v>5.5719999999999999E-4</v>
      </c>
    </row>
    <row r="66" spans="1:12" x14ac:dyDescent="0.45">
      <c r="A66" t="str">
        <f>wTask[[#This Row],[Heuristic]]</f>
        <v>WS</v>
      </c>
      <c r="B66">
        <f>wTask[[#This Row],[Variance]]</f>
        <v>5.6000000000000001E-2</v>
      </c>
      <c r="C66" s="1">
        <f>wOver[[#This Row],[W0]]/wTask[[#This Row],[W0]]</f>
        <v>8.5615740363931274E-7</v>
      </c>
      <c r="D66">
        <f>wOver[[#This Row],[W1]]/wTask[[#This Row],[W1]]</f>
        <v>9.9506891514710401E-7</v>
      </c>
      <c r="E66">
        <f>wOver[[#This Row],[W2]]/wTask[[#This Row],[W2]]</f>
        <v>9.4538425167358868E-7</v>
      </c>
      <c r="F66">
        <f>wOver[[#This Row],[W3]]/wTask[[#This Row],[W3]]</f>
        <v>9.1926793367401722E-7</v>
      </c>
      <c r="G66">
        <f>wOver[[#This Row],[W4]]/wTask[[#This Row],[W4]]</f>
        <v>9.3029166596796559E-7</v>
      </c>
      <c r="H66">
        <f>wOver[[#This Row],[W5]]/wTask[[#This Row],[W5]]</f>
        <v>9.6648065045083444E-7</v>
      </c>
      <c r="I66" s="1">
        <f>AVERAGE(Table3[[#This Row],[W1]:[W5]])</f>
        <v>9.5129868338270197E-7</v>
      </c>
      <c r="J66">
        <f>_xlfn.STDEV.P(Table3[[#This Row],[W1]:[W5]])</f>
        <v>2.7013217219622466E-8</v>
      </c>
      <c r="K66" s="1">
        <f>wTask[[#This Row],[Average]]</f>
        <v>551.66564619999997</v>
      </c>
      <c r="L66">
        <f>wOver[[#This Row],[Mean]]</f>
        <v>5.2479999999999996E-4</v>
      </c>
    </row>
    <row r="67" spans="1:12" x14ac:dyDescent="0.45">
      <c r="A67" t="str">
        <f>wTask[[#This Row],[Heuristic]]</f>
        <v>WS</v>
      </c>
      <c r="B67">
        <f>wTask[[#This Row],[Variance]]</f>
        <v>0.1</v>
      </c>
      <c r="C67" s="1">
        <f>wOver[[#This Row],[W0]]/wTask[[#This Row],[W0]]</f>
        <v>9.017340112578146E-7</v>
      </c>
      <c r="D67">
        <f>wOver[[#This Row],[W1]]/wTask[[#This Row],[W1]]</f>
        <v>1.0104367871914587E-6</v>
      </c>
      <c r="E67">
        <f>wOver[[#This Row],[W2]]/wTask[[#This Row],[W2]]</f>
        <v>9.5466130271905576E-7</v>
      </c>
      <c r="F67">
        <f>wOver[[#This Row],[W3]]/wTask[[#This Row],[W3]]</f>
        <v>9.7823035029504571E-7</v>
      </c>
      <c r="G67">
        <f>wOver[[#This Row],[W4]]/wTask[[#This Row],[W4]]</f>
        <v>9.5281998237959005E-7</v>
      </c>
      <c r="H67">
        <f>wOver[[#This Row],[W5]]/wTask[[#This Row],[W5]]</f>
        <v>1.0107317395652087E-6</v>
      </c>
      <c r="I67" s="1">
        <f>AVERAGE(Table3[[#This Row],[W1]:[W5]])</f>
        <v>9.8137603243007179E-7</v>
      </c>
      <c r="J67">
        <f>_xlfn.STDEV.P(Table3[[#This Row],[W1]:[W5]])</f>
        <v>2.5476676010886057E-8</v>
      </c>
      <c r="K67" s="1">
        <f>wTask[[#This Row],[Average]]</f>
        <v>556.35706440000001</v>
      </c>
      <c r="L67">
        <f>wOver[[#This Row],[Mean]]</f>
        <v>5.4600000000000004E-4</v>
      </c>
    </row>
    <row r="68" spans="1:12" x14ac:dyDescent="0.45">
      <c r="A68" t="str">
        <f>wTask[[#This Row],[Heuristic]]</f>
        <v>WS</v>
      </c>
      <c r="B68">
        <f>wTask[[#This Row],[Variance]]</f>
        <v>0.18</v>
      </c>
      <c r="C68" s="1">
        <f>wOver[[#This Row],[W0]]/wTask[[#This Row],[W0]]</f>
        <v>8.8372253231376144E-7</v>
      </c>
      <c r="D68">
        <f>wOver[[#This Row],[W1]]/wTask[[#This Row],[W1]]</f>
        <v>9.4780297920554436E-7</v>
      </c>
      <c r="E68">
        <f>wOver[[#This Row],[W2]]/wTask[[#This Row],[W2]]</f>
        <v>9.7939786187364722E-7</v>
      </c>
      <c r="F68">
        <f>wOver[[#This Row],[W3]]/wTask[[#This Row],[W3]]</f>
        <v>9.8106379818637074E-7</v>
      </c>
      <c r="G68">
        <f>wOver[[#This Row],[W4]]/wTask[[#This Row],[W4]]</f>
        <v>9.5522803390713409E-7</v>
      </c>
      <c r="H68">
        <f>wOver[[#This Row],[W5]]/wTask[[#This Row],[W5]]</f>
        <v>9.5879243586089656E-7</v>
      </c>
      <c r="I68" s="1">
        <f>AVERAGE(Table3[[#This Row],[W1]:[W5]])</f>
        <v>9.6445702180671851E-7</v>
      </c>
      <c r="J68">
        <f>_xlfn.STDEV.P(Table3[[#This Row],[W1]:[W5]])</f>
        <v>1.3368863902211886E-8</v>
      </c>
      <c r="K68" s="1">
        <f>wTask[[#This Row],[Average]]</f>
        <v>555.75625679999996</v>
      </c>
      <c r="L68">
        <f>wOver[[#This Row],[Mean]]</f>
        <v>5.3599999999999991E-4</v>
      </c>
    </row>
    <row r="69" spans="1:12" x14ac:dyDescent="0.45">
      <c r="A69" t="str">
        <f>wTask[[#This Row],[Heuristic]]</f>
        <v>WS</v>
      </c>
      <c r="B69">
        <f>wTask[[#This Row],[Variance]]</f>
        <v>0.31</v>
      </c>
      <c r="C69" s="1">
        <f>wOver[[#This Row],[W0]]/wTask[[#This Row],[W0]]</f>
        <v>8.7102023754143017E-7</v>
      </c>
      <c r="D69">
        <f>wOver[[#This Row],[W1]]/wTask[[#This Row],[W1]]</f>
        <v>9.3825982549591369E-7</v>
      </c>
      <c r="E69">
        <f>wOver[[#This Row],[W2]]/wTask[[#This Row],[W2]]</f>
        <v>9.6718187206812021E-7</v>
      </c>
      <c r="F69">
        <f>wOver[[#This Row],[W3]]/wTask[[#This Row],[W3]]</f>
        <v>9.5693909213600451E-7</v>
      </c>
      <c r="G69">
        <f>wOver[[#This Row],[W4]]/wTask[[#This Row],[W4]]</f>
        <v>9.6575956836089915E-7</v>
      </c>
      <c r="H69">
        <f>wOver[[#This Row],[W5]]/wTask[[#This Row],[W5]]</f>
        <v>9.6334397361348321E-7</v>
      </c>
      <c r="I69" s="1">
        <f>AVERAGE(Table3[[#This Row],[W1]:[W5]])</f>
        <v>9.5829686633488428E-7</v>
      </c>
      <c r="J69">
        <f>_xlfn.STDEV.P(Table3[[#This Row],[W1]:[W5]])</f>
        <v>1.0615414232597114E-8</v>
      </c>
      <c r="K69" s="1">
        <f>wTask[[#This Row],[Average]]</f>
        <v>570.80056760000002</v>
      </c>
      <c r="L69">
        <f>wOver[[#This Row],[Mean]]</f>
        <v>5.4699999999999996E-4</v>
      </c>
    </row>
    <row r="70" spans="1:12" x14ac:dyDescent="0.45">
      <c r="A70" t="str">
        <f>wTask[[#This Row],[Heuristic]]</f>
        <v>WS</v>
      </c>
      <c r="B70">
        <f>wTask[[#This Row],[Variance]]</f>
        <v>0.56000000000000005</v>
      </c>
      <c r="C70" s="1">
        <f>wOver[[#This Row],[W0]]/wTask[[#This Row],[W0]]</f>
        <v>9.1050190570990089E-7</v>
      </c>
      <c r="D70">
        <f>wOver[[#This Row],[W1]]/wTask[[#This Row],[W1]]</f>
        <v>1.0289199935748396E-6</v>
      </c>
      <c r="E70">
        <f>wOver[[#This Row],[W2]]/wTask[[#This Row],[W2]]</f>
        <v>9.6436120622453713E-7</v>
      </c>
      <c r="F70">
        <f>wOver[[#This Row],[W3]]/wTask[[#This Row],[W3]]</f>
        <v>9.395436101145814E-7</v>
      </c>
      <c r="G70">
        <f>wOver[[#This Row],[W4]]/wTask[[#This Row],[W4]]</f>
        <v>9.4170195661296082E-7</v>
      </c>
      <c r="H70">
        <f>wOver[[#This Row],[W5]]/wTask[[#This Row],[W5]]</f>
        <v>9.8305269318921443E-7</v>
      </c>
      <c r="I70" s="1">
        <f>AVERAGE(Table3[[#This Row],[W1]:[W5]])</f>
        <v>9.7151589194322675E-7</v>
      </c>
      <c r="J70">
        <f>_xlfn.STDEV.P(Table3[[#This Row],[W1]:[W5]])</f>
        <v>3.2834785639814314E-8</v>
      </c>
      <c r="K70" s="1">
        <f>wTask[[#This Row],[Average]]</f>
        <v>597.01629520000006</v>
      </c>
      <c r="L70">
        <f>wOver[[#This Row],[Mean]]</f>
        <v>5.8E-4</v>
      </c>
    </row>
    <row r="71" spans="1:12" x14ac:dyDescent="0.45">
      <c r="A71" s="2" t="str">
        <f>wTask[[#This Row],[Heuristic]]</f>
        <v>WS</v>
      </c>
      <c r="B71" s="2">
        <f>wTask[[#This Row],[Variance]]</f>
        <v>1</v>
      </c>
      <c r="C71" s="1">
        <f>wOver[[#This Row],[W0]]/wTask[[#This Row],[W0]]</f>
        <v>7.7208401560896515E-7</v>
      </c>
      <c r="D71">
        <f>wOver[[#This Row],[W1]]/wTask[[#This Row],[W1]]</f>
        <v>8.7514540871209294E-7</v>
      </c>
      <c r="E71">
        <f>wOver[[#This Row],[W2]]/wTask[[#This Row],[W2]]</f>
        <v>9.8041079581440466E-7</v>
      </c>
      <c r="F71">
        <f>wOver[[#This Row],[W3]]/wTask[[#This Row],[W3]]</f>
        <v>9.2036410611663795E-7</v>
      </c>
      <c r="G71">
        <f>wOver[[#This Row],[W4]]/wTask[[#This Row],[W4]]</f>
        <v>9.5053614168808803E-7</v>
      </c>
      <c r="H71">
        <f>wOver[[#This Row],[W5]]/wTask[[#This Row],[W5]]</f>
        <v>1.0172318582994045E-6</v>
      </c>
      <c r="I71" s="1">
        <f>AVERAGE(Table3[[#This Row],[W1]:[W5]])</f>
        <v>9.4873766212612559E-7</v>
      </c>
      <c r="J71">
        <f>_xlfn.STDEV.P(Table3[[#This Row],[W1]:[W5]])</f>
        <v>4.8823673108386137E-8</v>
      </c>
      <c r="K71" s="1">
        <f>wTask[[#This Row],[Average]]</f>
        <v>607.09588259999998</v>
      </c>
      <c r="L71">
        <f>wOver[[#This Row],[Mean]]</f>
        <v>5.7600000000000001E-4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1960B-09A7-421D-8D8F-05BD7374DABA}">
  <dimension ref="A1:J11"/>
  <sheetViews>
    <sheetView zoomScale="86" workbookViewId="0">
      <selection activeCell="P11" sqref="P11"/>
    </sheetView>
  </sheetViews>
  <sheetFormatPr baseColWidth="10" defaultColWidth="9.06640625" defaultRowHeight="14.25" x14ac:dyDescent="0.45"/>
  <cols>
    <col min="1" max="1" width="13.86328125" customWidth="1"/>
  </cols>
  <sheetData>
    <row r="1" spans="1:10" x14ac:dyDescent="0.4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0" x14ac:dyDescent="0.45">
      <c r="A2">
        <v>0</v>
      </c>
      <c r="B2" cm="1">
        <f t="array" ref="B2">IFERROR(INDEX(wTask[StDev], MATCH(1, (wTask[Heuristic]=Table4[[#Headers],[FCFS]]) * (wTask[Variance] = Table4[[#This Row],[Heuristic]]), 0)), "")</f>
        <v>1.2717185716977102E-2</v>
      </c>
      <c r="C2" cm="1">
        <f t="array" ref="C2">IFERROR(INDEX(wTask[StDev], MATCH(1, (wTask[Heuristic]=Table4[[#Headers],[LCFS]]) * (wTask[Variance] = Table4[[#This Row],[Heuristic]]), 0)), "")</f>
        <v>0.40860170863646478</v>
      </c>
      <c r="D2" cm="1">
        <f t="array" ref="D2">IFERROR(INDEX(wTask[StDev], MATCH(1, (wTask[Heuristic]=Table4[[#Headers],[SJF]]) * (wTask[Variance] = Table4[[#This Row],[Heuristic]]), 0)), "")</f>
        <v>0.53209453435621235</v>
      </c>
      <c r="E2" cm="1">
        <f t="array" ref="E2">IFERROR(INDEX(wTask[StDev], MATCH(1, (wTask[Heuristic]=Table4[[#Headers],[LJF]]) * (wTask[Variance] = Table4[[#This Row],[Heuristic]]), 0)), "")</f>
        <v>0.51503503390858385</v>
      </c>
      <c r="F2" cm="1">
        <f t="array" ref="F2">IFERROR(INDEX(wTask[StDev], MATCH(1, (wTask[Heuristic]=Table4[[#Headers],[RR]]) * (wTask[Variance] = Table4[[#This Row],[Heuristic]]), 0)), "")</f>
        <v>0.41538441247855318</v>
      </c>
      <c r="G2" cm="1">
        <f t="array" ref="G2">IFERROR(INDEX(wTask[StDev], MATCH(1, (wTask[Heuristic]=Table4[[#Headers],[LBW]]) * (wTask[Variance] = Table4[[#This Row],[Heuristic]]), 0)), "")</f>
        <v>0.52695891834130482</v>
      </c>
      <c r="H2" cm="1">
        <f t="array" ref="H2">IFERROR(INDEX(wTask[StDev], MATCH(1, (wTask[Heuristic]=Table4[[#Headers],[WS]]) * (wTask[Variance] = Table4[[#This Row],[Heuristic]]), 0)), "")</f>
        <v>0.51826536473957407</v>
      </c>
    </row>
    <row r="3" spans="1:10" x14ac:dyDescent="0.45">
      <c r="A3">
        <v>0.01</v>
      </c>
      <c r="B3" cm="1">
        <f t="array" ref="B3">IFERROR(INDEX(wTask[StDev], MATCH(1, (wTask[Heuristic]=Table4[[#Headers],[FCFS]]) * (wTask[Variance] = Table4[[#This Row],[Heuristic]]), 0)), "")</f>
        <v>0.24882847273381228</v>
      </c>
      <c r="C3" cm="1">
        <f t="array" ref="C3">IFERROR(INDEX(wTask[StDev], MATCH(1, (wTask[Heuristic]=Table4[[#Headers],[LCFS]]) * (wTask[Variance] = Table4[[#This Row],[Heuristic]]), 0)), "")</f>
        <v>0.33567343840548708</v>
      </c>
      <c r="D3" cm="1">
        <f t="array" ref="D3">IFERROR(INDEX(wTask[StDev], MATCH(1, (wTask[Heuristic]=Table4[[#Headers],[SJF]]) * (wTask[Variance] = Table4[[#This Row],[Heuristic]]), 0)), "")</f>
        <v>0.35432442875275383</v>
      </c>
      <c r="E3" cm="1">
        <f t="array" ref="E3">IFERROR(INDEX(wTask[StDev], MATCH(1, (wTask[Heuristic]=Table4[[#Headers],[LJF]]) * (wTask[Variance] = Table4[[#This Row],[Heuristic]]), 0)), "")</f>
        <v>0.38425887364619649</v>
      </c>
      <c r="F3" cm="1">
        <f t="array" ref="F3">IFERROR(INDEX(wTask[StDev], MATCH(1, (wTask[Heuristic]=Table4[[#Headers],[RR]]) * (wTask[Variance] = Table4[[#This Row],[Heuristic]]), 0)), "")</f>
        <v>0.28765260730651698</v>
      </c>
      <c r="G3" cm="1">
        <f t="array" ref="G3">IFERROR(INDEX(wTask[StDev], MATCH(1, (wTask[Heuristic]=Table4[[#Headers],[LBW]]) * (wTask[Variance] = Table4[[#This Row],[Heuristic]]), 0)), "")</f>
        <v>0.28083374147094653</v>
      </c>
      <c r="H3" cm="1">
        <f t="array" ref="H3">IFERROR(INDEX(wTask[StDev], MATCH(1, (wTask[Heuristic]=Table4[[#Headers],[WS]]) * (wTask[Variance] = Table4[[#This Row],[Heuristic]]), 0)), "")</f>
        <v>0.32057668796679084</v>
      </c>
    </row>
    <row r="4" spans="1:10" x14ac:dyDescent="0.45">
      <c r="A4">
        <v>1.7999999999999999E-2</v>
      </c>
      <c r="B4" cm="1">
        <f t="array" ref="B4">IFERROR(INDEX(wTask[StDev], MATCH(1, (wTask[Heuristic]=Table4[[#Headers],[FCFS]]) * (wTask[Variance] = Table4[[#This Row],[Heuristic]]), 0)), "")</f>
        <v>0.41264167197186896</v>
      </c>
      <c r="C4" cm="1">
        <f t="array" ref="C4">IFERROR(INDEX(wTask[StDev], MATCH(1, (wTask[Heuristic]=Table4[[#Headers],[LCFS]]) * (wTask[Variance] = Table4[[#This Row],[Heuristic]]), 0)), "")</f>
        <v>0.36356146182620003</v>
      </c>
      <c r="D4" cm="1">
        <f t="array" ref="D4">IFERROR(INDEX(wTask[StDev], MATCH(1, (wTask[Heuristic]=Table4[[#Headers],[SJF]]) * (wTask[Variance] = Table4[[#This Row],[Heuristic]]), 0)), "")</f>
        <v>0.48410170288003251</v>
      </c>
      <c r="E4" cm="1">
        <f t="array" ref="E4">IFERROR(INDEX(wTask[StDev], MATCH(1, (wTask[Heuristic]=Table4[[#Headers],[LJF]]) * (wTask[Variance] = Table4[[#This Row],[Heuristic]]), 0)), "")</f>
        <v>0.38653010682459471</v>
      </c>
      <c r="F4" cm="1">
        <f t="array" ref="F4">IFERROR(INDEX(wTask[StDev], MATCH(1, (wTask[Heuristic]=Table4[[#Headers],[RR]]) * (wTask[Variance] = Table4[[#This Row],[Heuristic]]), 0)), "")</f>
        <v>0.34722950973751349</v>
      </c>
      <c r="G4" cm="1">
        <f t="array" ref="G4">IFERROR(INDEX(wTask[StDev], MATCH(1, (wTask[Heuristic]=Table4[[#Headers],[LBW]]) * (wTask[Variance] = Table4[[#This Row],[Heuristic]]), 0)), "")</f>
        <v>0.36834790980466325</v>
      </c>
      <c r="H4" cm="1">
        <f t="array" ref="H4">IFERROR(INDEX(wTask[StDev], MATCH(1, (wTask[Heuristic]=Table4[[#Headers],[WS]]) * (wTask[Variance] = Table4[[#This Row],[Heuristic]]), 0)), "")</f>
        <v>0.196596599957783</v>
      </c>
    </row>
    <row r="5" spans="1:10" x14ac:dyDescent="0.45">
      <c r="A5">
        <v>3.1E-2</v>
      </c>
      <c r="B5" cm="1">
        <f t="array" ref="B5">IFERROR(INDEX(wTask[StDev], MATCH(1, (wTask[Heuristic]=Table4[[#Headers],[FCFS]]) * (wTask[Variance] = Table4[[#This Row],[Heuristic]]), 0)), "")</f>
        <v>0.25367853920063982</v>
      </c>
      <c r="C5" cm="1">
        <f t="array" ref="C5">IFERROR(INDEX(wTask[StDev], MATCH(1, (wTask[Heuristic]=Table4[[#Headers],[LCFS]]) * (wTask[Variance] = Table4[[#This Row],[Heuristic]]), 0)), "")</f>
        <v>0.36596654181309224</v>
      </c>
      <c r="D5" cm="1">
        <f t="array" ref="D5">IFERROR(INDEX(wTask[StDev], MATCH(1, (wTask[Heuristic]=Table4[[#Headers],[SJF]]) * (wTask[Variance] = Table4[[#This Row],[Heuristic]]), 0)), "")</f>
        <v>0.3706061860557564</v>
      </c>
      <c r="E5" cm="1">
        <f t="array" ref="E5">IFERROR(INDEX(wTask[StDev], MATCH(1, (wTask[Heuristic]=Table4[[#Headers],[LJF]]) * (wTask[Variance] = Table4[[#This Row],[Heuristic]]), 0)), "")</f>
        <v>0.25657403103711918</v>
      </c>
      <c r="F5" cm="1">
        <f t="array" ref="F5">IFERROR(INDEX(wTask[StDev], MATCH(1, (wTask[Heuristic]=Table4[[#Headers],[RR]]) * (wTask[Variance] = Table4[[#This Row],[Heuristic]]), 0)), "")</f>
        <v>0.86893151679647473</v>
      </c>
      <c r="G5" cm="1">
        <f t="array" ref="G5">IFERROR(INDEX(wTask[StDev], MATCH(1, (wTask[Heuristic]=Table4[[#Headers],[LBW]]) * (wTask[Variance] = Table4[[#This Row],[Heuristic]]), 0)), "")</f>
        <v>0.33759325234585025</v>
      </c>
      <c r="H5" cm="1">
        <f t="array" ref="H5">IFERROR(INDEX(wTask[StDev], MATCH(1, (wTask[Heuristic]=Table4[[#Headers],[WS]]) * (wTask[Variance] = Table4[[#This Row],[Heuristic]]), 0)), "")</f>
        <v>0.20124424866373783</v>
      </c>
    </row>
    <row r="6" spans="1:10" x14ac:dyDescent="0.45">
      <c r="A6">
        <v>5.6000000000000001E-2</v>
      </c>
      <c r="B6" cm="1">
        <f t="array" ref="B6">IFERROR(INDEX(wTask[StDev], MATCH(1, (wTask[Heuristic]=Table4[[#Headers],[FCFS]]) * (wTask[Variance] = Table4[[#This Row],[Heuristic]]), 0)), "")</f>
        <v>0.30102004326713661</v>
      </c>
      <c r="C6" cm="1">
        <f t="array" ref="C6">IFERROR(INDEX(wTask[StDev], MATCH(1, (wTask[Heuristic]=Table4[[#Headers],[LCFS]]) * (wTask[Variance] = Table4[[#This Row],[Heuristic]]), 0)), "")</f>
        <v>0.40604785589652892</v>
      </c>
      <c r="D6" cm="1">
        <f t="array" ref="D6">IFERROR(INDEX(wTask[StDev], MATCH(1, (wTask[Heuristic]=Table4[[#Headers],[SJF]]) * (wTask[Variance] = Table4[[#This Row],[Heuristic]]), 0)), "")</f>
        <v>0.31434781826528646</v>
      </c>
      <c r="E6" cm="1">
        <f t="array" ref="E6">IFERROR(INDEX(wTask[StDev], MATCH(1, (wTask[Heuristic]=Table4[[#Headers],[LJF]]) * (wTask[Variance] = Table4[[#This Row],[Heuristic]]), 0)), "")</f>
        <v>0.36558314445169182</v>
      </c>
      <c r="F6" cm="1">
        <f t="array" ref="F6">IFERROR(INDEX(wTask[StDev], MATCH(1, (wTask[Heuristic]=Table4[[#Headers],[RR]]) * (wTask[Variance] = Table4[[#This Row],[Heuristic]]), 0)), "")</f>
        <v>1.224337107253443</v>
      </c>
      <c r="G6" cm="1">
        <f t="array" ref="G6">IFERROR(INDEX(wTask[StDev], MATCH(1, (wTask[Heuristic]=Table4[[#Headers],[LBW]]) * (wTask[Variance] = Table4[[#This Row],[Heuristic]]), 0)), "")</f>
        <v>0.43610154544949092</v>
      </c>
      <c r="H6" cm="1">
        <f t="array" ref="H6">IFERROR(INDEX(wTask[StDev], MATCH(1, (wTask[Heuristic]=Table4[[#Headers],[WS]]) * (wTask[Variance] = Table4[[#This Row],[Heuristic]]), 0)), "")</f>
        <v>0.26338401410442591</v>
      </c>
    </row>
    <row r="7" spans="1:10" x14ac:dyDescent="0.45">
      <c r="A7">
        <v>0.1</v>
      </c>
      <c r="B7" cm="1">
        <f t="array" ref="B7">IFERROR(INDEX(wTask[StDev], MATCH(1, (wTask[Heuristic]=Table4[[#Headers],[FCFS]]) * (wTask[Variance] = Table4[[#This Row],[Heuristic]]), 0)), "")</f>
        <v>0.11192411677096363</v>
      </c>
      <c r="C7" cm="1">
        <f t="array" ref="C7">IFERROR(INDEX(wTask[StDev], MATCH(1, (wTask[Heuristic]=Table4[[#Headers],[LCFS]]) * (wTask[Variance] = Table4[[#This Row],[Heuristic]]), 0)), "")</f>
        <v>0.42984127229228558</v>
      </c>
      <c r="D7" cm="1">
        <f t="array" ref="D7">IFERROR(INDEX(wTask[StDev], MATCH(1, (wTask[Heuristic]=Table4[[#Headers],[SJF]]) * (wTask[Variance] = Table4[[#This Row],[Heuristic]]), 0)), "")</f>
        <v>0.43793305800683174</v>
      </c>
      <c r="E7" cm="1">
        <f t="array" ref="E7">IFERROR(INDEX(wTask[StDev], MATCH(1, (wTask[Heuristic]=Table4[[#Headers],[LJF]]) * (wTask[Variance] = Table4[[#This Row],[Heuristic]]), 0)), "")</f>
        <v>0.21687037702791456</v>
      </c>
      <c r="F7" cm="1">
        <f t="array" ref="F7">IFERROR(INDEX(wTask[StDev], MATCH(1, (wTask[Heuristic]=Table4[[#Headers],[RR]]) * (wTask[Variance] = Table4[[#This Row],[Heuristic]]), 0)), "")</f>
        <v>0.89689593297580261</v>
      </c>
      <c r="G7" cm="1">
        <f t="array" ref="G7">IFERROR(INDEX(wTask[StDev], MATCH(1, (wTask[Heuristic]=Table4[[#Headers],[LBW]]) * (wTask[Variance] = Table4[[#This Row],[Heuristic]]), 0)), "")</f>
        <v>0.52610713418294763</v>
      </c>
      <c r="H7" cm="1">
        <f t="array" ref="H7">IFERROR(INDEX(wTask[StDev], MATCH(1, (wTask[Heuristic]=Table4[[#Headers],[WS]]) * (wTask[Variance] = Table4[[#This Row],[Heuristic]]), 0)), "")</f>
        <v>0.33576329159134866</v>
      </c>
    </row>
    <row r="8" spans="1:10" x14ac:dyDescent="0.45">
      <c r="A8">
        <v>0.18</v>
      </c>
      <c r="B8" cm="1">
        <f t="array" ref="B8">IFERROR(INDEX(wTask[StDev], MATCH(1, (wTask[Heuristic]=Table4[[#Headers],[FCFS]]) * (wTask[Variance] = Table4[[#This Row],[Heuristic]]), 0)), "")</f>
        <v>0.71815778564072152</v>
      </c>
      <c r="C8" cm="1">
        <f t="array" ref="C8">IFERROR(INDEX(wTask[StDev], MATCH(1, (wTask[Heuristic]=Table4[[#Headers],[LCFS]]) * (wTask[Variance] = Table4[[#This Row],[Heuristic]]), 0)), "")</f>
        <v>0.14355772373702799</v>
      </c>
      <c r="D8" cm="1">
        <f t="array" ref="D8">IFERROR(INDEX(wTask[StDev], MATCH(1, (wTask[Heuristic]=Table4[[#Headers],[SJF]]) * (wTask[Variance] = Table4[[#This Row],[Heuristic]]), 0)), "")</f>
        <v>0.51152424772189842</v>
      </c>
      <c r="E8" cm="1">
        <f t="array" ref="E8">IFERROR(INDEX(wTask[StDev], MATCH(1, (wTask[Heuristic]=Table4[[#Headers],[LJF]]) * (wTask[Variance] = Table4[[#This Row],[Heuristic]]), 0)), "")</f>
        <v>0.11465539973747108</v>
      </c>
      <c r="F8" cm="1">
        <f t="array" ref="F8">IFERROR(INDEX(wTask[StDev], MATCH(1, (wTask[Heuristic]=Table4[[#Headers],[RR]]) * (wTask[Variance] = Table4[[#This Row],[Heuristic]]), 0)), "")</f>
        <v>2.1062069708704385</v>
      </c>
      <c r="G8" cm="1">
        <f t="array" ref="G8">IFERROR(INDEX(wTask[StDev], MATCH(1, (wTask[Heuristic]=Table4[[#Headers],[LBW]]) * (wTask[Variance] = Table4[[#This Row],[Heuristic]]), 0)), "")</f>
        <v>0.44118595839596075</v>
      </c>
      <c r="H8" cm="1">
        <f t="array" ref="H8">IFERROR(INDEX(wTask[StDev], MATCH(1, (wTask[Heuristic]=Table4[[#Headers],[WS]]) * (wTask[Variance] = Table4[[#This Row],[Heuristic]]), 0)), "")</f>
        <v>0.23036517341857374</v>
      </c>
    </row>
    <row r="9" spans="1:10" x14ac:dyDescent="0.45">
      <c r="A9">
        <v>0.31</v>
      </c>
      <c r="B9" cm="1">
        <f t="array" ref="B9">IFERROR(INDEX(wTask[StDev], MATCH(1, (wTask[Heuristic]=Table4[[#Headers],[FCFS]]) * (wTask[Variance] = Table4[[#This Row],[Heuristic]]), 0)), "")</f>
        <v>0.44567019940419045</v>
      </c>
      <c r="C9" cm="1">
        <f t="array" ref="C9">IFERROR(INDEX(wTask[StDev], MATCH(1, (wTask[Heuristic]=Table4[[#Headers],[LCFS]]) * (wTask[Variance] = Table4[[#This Row],[Heuristic]]), 0)), "")</f>
        <v>0.30308012128454104</v>
      </c>
      <c r="D9" cm="1">
        <f t="array" ref="D9">IFERROR(INDEX(wTask[StDev], MATCH(1, (wTask[Heuristic]=Table4[[#Headers],[SJF]]) * (wTask[Variance] = Table4[[#This Row],[Heuristic]]), 0)), "")</f>
        <v>1.104494458878154</v>
      </c>
      <c r="E9" cm="1">
        <f t="array" ref="E9">IFERROR(INDEX(wTask[StDev], MATCH(1, (wTask[Heuristic]=Table4[[#Headers],[LJF]]) * (wTask[Variance] = Table4[[#This Row],[Heuristic]]), 0)), "")</f>
        <v>5.6140949293724145E-2</v>
      </c>
      <c r="F9" cm="1">
        <f t="array" ref="F9">IFERROR(INDEX(wTask[StDev], MATCH(1, (wTask[Heuristic]=Table4[[#Headers],[RR]]) * (wTask[Variance] = Table4[[#This Row],[Heuristic]]), 0)), "")</f>
        <v>3.0753287808081149</v>
      </c>
      <c r="G9" cm="1">
        <f t="array" ref="G9">IFERROR(INDEX(wTask[StDev], MATCH(1, (wTask[Heuristic]=Table4[[#Headers],[LBW]]) * (wTask[Variance] = Table4[[#This Row],[Heuristic]]), 0)), "")</f>
        <v>0.50439204582287023</v>
      </c>
      <c r="H9" cm="1">
        <f t="array" ref="H9">IFERROR(INDEX(wTask[StDev], MATCH(1, (wTask[Heuristic]=Table4[[#Headers],[WS]]) * (wTask[Variance] = Table4[[#This Row],[Heuristic]]), 0)), "")</f>
        <v>0.45238324505782251</v>
      </c>
    </row>
    <row r="10" spans="1:10" x14ac:dyDescent="0.45">
      <c r="A10">
        <v>0.56000000000000005</v>
      </c>
      <c r="B10" cm="1">
        <f t="array" ref="B10">IFERROR(INDEX(wTask[StDev], MATCH(1, (wTask[Heuristic]=Table4[[#Headers],[FCFS]]) * (wTask[Variance] = Table4[[#This Row],[Heuristic]]), 0)), "")</f>
        <v>0.2465736144769953</v>
      </c>
      <c r="C10" cm="1">
        <f t="array" ref="C10">IFERROR(INDEX(wTask[StDev], MATCH(1, (wTask[Heuristic]=Table4[[#Headers],[LCFS]]) * (wTask[Variance] = Table4[[#This Row],[Heuristic]]), 0)), "")</f>
        <v>0.41676410921688817</v>
      </c>
      <c r="D10" cm="1">
        <f t="array" ref="D10">IFERROR(INDEX(wTask[StDev], MATCH(1, (wTask[Heuristic]=Table4[[#Headers],[SJF]]) * (wTask[Variance] = Table4[[#This Row],[Heuristic]]), 0)), "")</f>
        <v>1.2609876862503746</v>
      </c>
      <c r="E10" cm="1">
        <f t="array" ref="E10">IFERROR(INDEX(wTask[StDev], MATCH(1, (wTask[Heuristic]=Table4[[#Headers],[LJF]]) * (wTask[Variance] = Table4[[#This Row],[Heuristic]]), 0)), "")</f>
        <v>4.7941371663325086E-2</v>
      </c>
      <c r="F10" cm="1">
        <f t="array" ref="F10">IFERROR(INDEX(wTask[StDev], MATCH(1, (wTask[Heuristic]=Table4[[#Headers],[RR]]) * (wTask[Variance] = Table4[[#This Row],[Heuristic]]), 0)), "")</f>
        <v>10.484344477160608</v>
      </c>
      <c r="G10" cm="1">
        <f t="array" ref="G10">IFERROR(INDEX(wTask[StDev], MATCH(1, (wTask[Heuristic]=Table4[[#Headers],[LBW]]) * (wTask[Variance] = Table4[[#This Row],[Heuristic]]), 0)), "")</f>
        <v>0.94347790591034386</v>
      </c>
      <c r="H10" cm="1">
        <f t="array" ref="H10">IFERROR(INDEX(wTask[StDev], MATCH(1, (wTask[Heuristic]=Table4[[#Headers],[WS]]) * (wTask[Variance] = Table4[[#This Row],[Heuristic]]), 0)), "")</f>
        <v>0.95363064315055956</v>
      </c>
      <c r="J10" t="s">
        <v>21</v>
      </c>
    </row>
    <row r="11" spans="1:10" x14ac:dyDescent="0.45">
      <c r="A11">
        <v>1</v>
      </c>
      <c r="B11" cm="1">
        <f t="array" ref="B11">IFERROR(INDEX(wTask[StDev], MATCH(1, (wTask[Heuristic]=Table4[[#Headers],[FCFS]]) * (wTask[Variance] = Table4[[#This Row],[Heuristic]]), 0)), "")</f>
        <v>0.88052885299496453</v>
      </c>
      <c r="C11" cm="1">
        <f t="array" ref="C11">IFERROR(INDEX(wTask[StDev], MATCH(1, (wTask[Heuristic]=Table4[[#Headers],[LCFS]]) * (wTask[Variance] = Table4[[#This Row],[Heuristic]]), 0)), "")</f>
        <v>1.0119461543318771</v>
      </c>
      <c r="D11" cm="1">
        <f t="array" ref="D11">IFERROR(INDEX(wTask[StDev], MATCH(1, (wTask[Heuristic]=Table4[[#Headers],[SJF]]) * (wTask[Variance] = Table4[[#This Row],[Heuristic]]), 0)), "")</f>
        <v>0.84770176143556508</v>
      </c>
      <c r="E11" cm="1">
        <f t="array" ref="E11">IFERROR(INDEX(wTask[StDev], MATCH(1, (wTask[Heuristic]=Table4[[#Headers],[LJF]]) * (wTask[Variance] = Table4[[#This Row],[Heuristic]]), 0)), "")</f>
        <v>2.0371799690758592E-2</v>
      </c>
      <c r="F11" cm="1">
        <f t="array" ref="F11">IFERROR(INDEX(wTask[StDev], MATCH(1, (wTask[Heuristic]=Table4[[#Headers],[RR]]) * (wTask[Variance] = Table4[[#This Row],[Heuristic]]), 0)), "")</f>
        <v>17.019237936496459</v>
      </c>
      <c r="G11" cm="1">
        <f t="array" ref="G11">IFERROR(INDEX(wTask[StDev], MATCH(1, (wTask[Heuristic]=Table4[[#Headers],[LBW]]) * (wTask[Variance] = Table4[[#This Row],[Heuristic]]), 0)), "")</f>
        <v>5.0744014093413305</v>
      </c>
      <c r="H11" cm="1">
        <f t="array" ref="H11">IFERROR(INDEX(wTask[StDev], MATCH(1, (wTask[Heuristic]=Table4[[#Headers],[WS]]) * (wTask[Variance] = Table4[[#This Row],[Heuristic]]), 0)), "")</f>
        <v>0.83282819596976609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A0AAC-730C-47B0-BCA7-1FAE76A8896D}">
  <dimension ref="A1:K11"/>
  <sheetViews>
    <sheetView zoomScale="86" workbookViewId="0">
      <selection activeCell="M11" sqref="M11"/>
    </sheetView>
  </sheetViews>
  <sheetFormatPr baseColWidth="10" defaultColWidth="9.06640625" defaultRowHeight="14.25" x14ac:dyDescent="0.45"/>
  <cols>
    <col min="1" max="1" width="13.86328125" customWidth="1"/>
    <col min="5" max="7" width="11.9296875" bestFit="1" customWidth="1"/>
  </cols>
  <sheetData>
    <row r="1" spans="1:11" x14ac:dyDescent="0.45">
      <c r="A1" t="s">
        <v>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11" x14ac:dyDescent="0.45">
      <c r="A2">
        <v>0</v>
      </c>
      <c r="B2" cm="1">
        <f t="array" ref="B2">IFERROR(INDEX(wOver[StDev], MATCH(1, (wOver[Heuristic]=Table46[[#Headers],[FCFS]]) * (wOver[Variance] = Table46[[#This Row],[Heuristic]]), 0)), "")</f>
        <v>1.1083320801997929E-4</v>
      </c>
      <c r="C2" cm="1">
        <f t="array" ref="C2">IFERROR(INDEX(wOver[StDev], MATCH(1, (wOver[Heuristic]=Table46[[#Headers],[LCFS]]) * (wOver[Variance] = Table46[[#This Row],[Heuristic]]), 0)), "")</f>
        <v>1.4004941984885192E-4</v>
      </c>
      <c r="D2" cm="1">
        <f t="array" ref="D2">IFERROR(INDEX(wOver[StDev], MATCH(1, (wOver[Heuristic]=Table46[[#Headers],[SJF]]) * (wOver[Variance] = Table46[[#This Row],[Heuristic]]), 0)), "")</f>
        <v>2.3617247934507529E-4</v>
      </c>
      <c r="E2" cm="1">
        <f t="array" ref="E2">IFERROR(INDEX(wOver[StDev], MATCH(1, (wOver[Heuristic]=Table46[[#Headers],[LJF]]) * (wOver[Variance] = Table46[[#This Row],[Heuristic]]), 0)), "")</f>
        <v>6.6644129523912328E-5</v>
      </c>
      <c r="F2" cm="1">
        <f t="array" ref="F2">IFERROR(INDEX(wOver[StDev], MATCH(1, (wOver[Heuristic]=Table46[[#Headers],[RR]]) * (wOver[Variance] = Table46[[#This Row],[Heuristic]]), 0)), "")</f>
        <v>6.1059315423610854E-5</v>
      </c>
      <c r="G2" cm="1">
        <f t="array" ref="G2">IFERROR(INDEX(wOver[StDev], MATCH(1, (wOver[Heuristic]=Table46[[#Headers],[LBW]]) * (wOver[Variance] = Table46[[#This Row],[Heuristic]]), 0)), "")</f>
        <v>4.2412262377760516E-5</v>
      </c>
      <c r="H2" cm="1">
        <f t="array" ref="H2">IFERROR(INDEX(wOver[StDev], MATCH(1, (wOver[Heuristic]=Table46[[#Headers],[WS]]) * (wOver[Variance] = Table46[[#This Row],[Heuristic]]), 0)), "")</f>
        <v>9.7199999999999991E-5</v>
      </c>
    </row>
    <row r="3" spans="1:11" x14ac:dyDescent="0.45">
      <c r="A3">
        <v>0.01</v>
      </c>
      <c r="B3" cm="1">
        <f t="array" ref="B3">IFERROR(INDEX(wOver[StDev], MATCH(1, (wOver[Heuristic]=Table46[[#Headers],[FCFS]]) * (wOver[Variance] = Table46[[#This Row],[Heuristic]]), 0)), "")</f>
        <v>4.5026214586616101E-5</v>
      </c>
      <c r="C3" cm="1">
        <f t="array" ref="C3">IFERROR(INDEX(wOver[StDev], MATCH(1, (wOver[Heuristic]=Table46[[#Headers],[LCFS]]) * (wOver[Variance] = Table46[[#This Row],[Heuristic]]), 0)), "")</f>
        <v>8.2720251450294798E-5</v>
      </c>
      <c r="D3" cm="1">
        <f t="array" ref="D3">IFERROR(INDEX(wOver[StDev], MATCH(1, (wOver[Heuristic]=Table46[[#Headers],[SJF]]) * (wOver[Variance] = Table46[[#This Row],[Heuristic]]), 0)), "")</f>
        <v>5.1414394871475435E-5</v>
      </c>
      <c r="E3" cm="1">
        <f t="array" ref="E3">IFERROR(INDEX(wOver[StDev], MATCH(1, (wOver[Heuristic]=Table46[[#Headers],[LJF]]) * (wOver[Variance] = Table46[[#This Row],[Heuristic]]), 0)), "")</f>
        <v>2.1611570974827349E-4</v>
      </c>
      <c r="F3" cm="1">
        <f t="array" ref="F3">IFERROR(INDEX(wOver[StDev], MATCH(1, (wOver[Heuristic]=Table46[[#Headers],[RR]]) * (wOver[Variance] = Table46[[#This Row],[Heuristic]]), 0)), "")</f>
        <v>8.723164563390973E-5</v>
      </c>
      <c r="G3" cm="1">
        <f t="array" ref="G3">IFERROR(INDEX(wOver[StDev], MATCH(1, (wOver[Heuristic]=Table46[[#Headers],[LBW]]) * (wOver[Variance] = Table46[[#This Row],[Heuristic]]), 0)), "")</f>
        <v>3.8548670534792775E-5</v>
      </c>
      <c r="H3" cm="1">
        <f t="array" ref="H3">IFERROR(INDEX(wOver[StDev], MATCH(1, (wOver[Heuristic]=Table46[[#Headers],[WS]]) * (wOver[Variance] = Table46[[#This Row],[Heuristic]]), 0)), "")</f>
        <v>4.2226058305269289E-5</v>
      </c>
    </row>
    <row r="4" spans="1:11" x14ac:dyDescent="0.45">
      <c r="A4">
        <v>1.7999999999999999E-2</v>
      </c>
      <c r="B4" cm="1">
        <f t="array" ref="B4">IFERROR(INDEX(wOver[StDev], MATCH(1, (wOver[Heuristic]=Table46[[#Headers],[FCFS]]) * (wOver[Variance] = Table46[[#This Row],[Heuristic]]), 0)), "")</f>
        <v>6.1730381498902151E-5</v>
      </c>
      <c r="C4" cm="1">
        <f t="array" ref="C4">IFERROR(INDEX(wOver[StDev], MATCH(1, (wOver[Heuristic]=Table46[[#Headers],[LCFS]]) * (wOver[Variance] = Table46[[#This Row],[Heuristic]]), 0)), "")</f>
        <v>2.420413187866902E-5</v>
      </c>
      <c r="D4" cm="1">
        <f t="array" ref="D4">IFERROR(INDEX(wOver[StDev], MATCH(1, (wOver[Heuristic]=Table46[[#Headers],[SJF]]) * (wOver[Variance] = Table46[[#This Row],[Heuristic]]), 0)), "")</f>
        <v>4.7486419111152168E-5</v>
      </c>
      <c r="E4" cm="1">
        <f t="array" ref="E4">IFERROR(INDEX(wOver[StDev], MATCH(1, (wOver[Heuristic]=Table46[[#Headers],[LJF]]) * (wOver[Variance] = Table46[[#This Row],[Heuristic]]), 0)), "")</f>
        <v>7.7259044777941649E-5</v>
      </c>
      <c r="F4" cm="1">
        <f t="array" ref="F4">IFERROR(INDEX(wOver[StDev], MATCH(1, (wOver[Heuristic]=Table46[[#Headers],[RR]]) * (wOver[Variance] = Table46[[#This Row],[Heuristic]]), 0)), "")</f>
        <v>2.4342555330120974E-5</v>
      </c>
      <c r="G4" cm="1">
        <f t="array" ref="G4">IFERROR(INDEX(wOver[StDev], MATCH(1, (wOver[Heuristic]=Table46[[#Headers],[LBW]]) * (wOver[Variance] = Table46[[#This Row],[Heuristic]]), 0)), "")</f>
        <v>1.785945127936467E-5</v>
      </c>
      <c r="H4" cm="1">
        <f t="array" ref="H4">IFERROR(INDEX(wOver[StDev], MATCH(1, (wOver[Heuristic]=Table46[[#Headers],[WS]]) * (wOver[Variance] = Table46[[#This Row],[Heuristic]]), 0)), "")</f>
        <v>2.7058455240460431E-5</v>
      </c>
    </row>
    <row r="5" spans="1:11" x14ac:dyDescent="0.45">
      <c r="A5">
        <v>3.1E-2</v>
      </c>
      <c r="B5" cm="1">
        <f t="array" ref="B5">IFERROR(INDEX(wOver[StDev], MATCH(1, (wOver[Heuristic]=Table46[[#Headers],[FCFS]]) * (wOver[Variance] = Table46[[#This Row],[Heuristic]]), 0)), "")</f>
        <v>8.6486993241758563E-6</v>
      </c>
      <c r="C5" cm="1">
        <f t="array" ref="C5">IFERROR(INDEX(wOver[StDev], MATCH(1, (wOver[Heuristic]=Table46[[#Headers],[LCFS]]) * (wOver[Variance] = Table46[[#This Row],[Heuristic]]), 0)), "")</f>
        <v>1.5612815249019001E-5</v>
      </c>
      <c r="D5" cm="1">
        <f t="array" ref="D5">IFERROR(INDEX(wOver[StDev], MATCH(1, (wOver[Heuristic]=Table46[[#Headers],[SJF]]) * (wOver[Variance] = Table46[[#This Row],[Heuristic]]), 0)), "")</f>
        <v>6.9872455230942038E-5</v>
      </c>
      <c r="E5" cm="1">
        <f t="array" ref="E5">IFERROR(INDEX(wOver[StDev], MATCH(1, (wOver[Heuristic]=Table46[[#Headers],[LJF]]) * (wOver[Variance] = Table46[[#This Row],[Heuristic]]), 0)), "")</f>
        <v>8.1803178422357187E-5</v>
      </c>
      <c r="F5" cm="1">
        <f t="array" ref="F5">IFERROR(INDEX(wOver[StDev], MATCH(1, (wOver[Heuristic]=Table46[[#Headers],[RR]]) * (wOver[Variance] = Table46[[#This Row],[Heuristic]]), 0)), "")</f>
        <v>1.0947145746723225E-5</v>
      </c>
      <c r="G5" cm="1">
        <f t="array" ref="G5">IFERROR(INDEX(wOver[StDev], MATCH(1, (wOver[Heuristic]=Table46[[#Headers],[LBW]]) * (wOver[Variance] = Table46[[#This Row],[Heuristic]]), 0)), "")</f>
        <v>2.6156452358834928E-5</v>
      </c>
      <c r="H5" cm="1">
        <f t="array" ref="H5">IFERROR(INDEX(wOver[StDev], MATCH(1, (wOver[Heuristic]=Table46[[#Headers],[WS]]) * (wOver[Variance] = Table46[[#This Row],[Heuristic]]), 0)), "")</f>
        <v>1.498532615594339E-5</v>
      </c>
    </row>
    <row r="6" spans="1:11" x14ac:dyDescent="0.45">
      <c r="A6">
        <v>5.6000000000000001E-2</v>
      </c>
      <c r="B6" cm="1">
        <f t="array" ref="B6">IFERROR(INDEX(wOver[StDev], MATCH(1, (wOver[Heuristic]=Table46[[#Headers],[FCFS]]) * (wOver[Variance] = Table46[[#This Row],[Heuristic]]), 0)), "")</f>
        <v>2.1341040274550826E-5</v>
      </c>
      <c r="C6" cm="1">
        <f t="array" ref="C6">IFERROR(INDEX(wOver[StDev], MATCH(1, (wOver[Heuristic]=Table46[[#Headers],[LCFS]]) * (wOver[Variance] = Table46[[#This Row],[Heuristic]]), 0)), "")</f>
        <v>1.0721940122944151E-5</v>
      </c>
      <c r="D6" cm="1">
        <f t="array" ref="D6">IFERROR(INDEX(wOver[StDev], MATCH(1, (wOver[Heuristic]=Table46[[#Headers],[SJF]]) * (wOver[Variance] = Table46[[#This Row],[Heuristic]]), 0)), "")</f>
        <v>7.5331268408277864E-5</v>
      </c>
      <c r="E6" cm="1">
        <f t="array" ref="E6">IFERROR(INDEX(wOver[StDev], MATCH(1, (wOver[Heuristic]=Table46[[#Headers],[LJF]]) * (wOver[Variance] = Table46[[#This Row],[Heuristic]]), 0)), "")</f>
        <v>5.1352117775219386E-5</v>
      </c>
      <c r="F6" cm="1">
        <f t="array" ref="F6">IFERROR(INDEX(wOver[StDev], MATCH(1, (wOver[Heuristic]=Table46[[#Headers],[RR]]) * (wOver[Variance] = Table46[[#This Row],[Heuristic]]), 0)), "")</f>
        <v>1.3130118049735907E-5</v>
      </c>
      <c r="G6" cm="1">
        <f t="array" ref="G6">IFERROR(INDEX(wOver[StDev], MATCH(1, (wOver[Heuristic]=Table46[[#Headers],[LBW]]) * (wOver[Variance] = Table46[[#This Row],[Heuristic]]), 0)), "")</f>
        <v>2.2383922801868298E-5</v>
      </c>
      <c r="H6" cm="1">
        <f t="array" ref="H6">IFERROR(INDEX(wOver[StDev], MATCH(1, (wOver[Heuristic]=Table46[[#Headers],[WS]]) * (wOver[Variance] = Table46[[#This Row],[Heuristic]]), 0)), "")</f>
        <v>1.4945233353815541E-5</v>
      </c>
    </row>
    <row r="7" spans="1:11" x14ac:dyDescent="0.45">
      <c r="A7">
        <v>0.1</v>
      </c>
      <c r="B7" cm="1">
        <f t="array" ref="B7">IFERROR(INDEX(wOver[StDev], MATCH(1, (wOver[Heuristic]=Table46[[#Headers],[FCFS]]) * (wOver[Variance] = Table46[[#This Row],[Heuristic]]), 0)), "")</f>
        <v>2.3938253904577109E-5</v>
      </c>
      <c r="C7" cm="1">
        <f t="array" ref="C7">IFERROR(INDEX(wOver[StDev], MATCH(1, (wOver[Heuristic]=Table46[[#Headers],[LCFS]]) * (wOver[Variance] = Table46[[#This Row],[Heuristic]]), 0)), "")</f>
        <v>1.5302287410710859E-5</v>
      </c>
      <c r="D7" cm="1">
        <f t="array" ref="D7">IFERROR(INDEX(wOver[StDev], MATCH(1, (wOver[Heuristic]=Table46[[#Headers],[SJF]]) * (wOver[Variance] = Table46[[#This Row],[Heuristic]]), 0)), "")</f>
        <v>3.4794252398923606E-5</v>
      </c>
      <c r="E7" cm="1">
        <f t="array" ref="E7">IFERROR(INDEX(wOver[StDev], MATCH(1, (wOver[Heuristic]=Table46[[#Headers],[LJF]]) * (wOver[Variance] = Table46[[#This Row],[Heuristic]]), 0)), "")</f>
        <v>1.8508376482014891E-5</v>
      </c>
      <c r="F7" cm="1">
        <f t="array" ref="F7">IFERROR(INDEX(wOver[StDev], MATCH(1, (wOver[Heuristic]=Table46[[#Headers],[RR]]) * (wOver[Variance] = Table46[[#This Row],[Heuristic]]), 0)), "")</f>
        <v>8.546344247688575E-6</v>
      </c>
      <c r="G7" cm="1">
        <f t="array" ref="G7">IFERROR(INDEX(wOver[StDev], MATCH(1, (wOver[Heuristic]=Table46[[#Headers],[LBW]]) * (wOver[Variance] = Table46[[#This Row],[Heuristic]]), 0)), "")</f>
        <v>1.5383107618423513E-5</v>
      </c>
      <c r="H7" cm="1">
        <f t="array" ref="H7">IFERROR(INDEX(wOver[StDev], MATCH(1, (wOver[Heuristic]=Table46[[#Headers],[WS]]) * (wOver[Variance] = Table46[[#This Row],[Heuristic]]), 0)), "")</f>
        <v>1.4352700094407332E-5</v>
      </c>
    </row>
    <row r="8" spans="1:11" x14ac:dyDescent="0.45">
      <c r="A8">
        <v>0.18</v>
      </c>
      <c r="B8" cm="1">
        <f t="array" ref="B8">IFERROR(INDEX(wOver[StDev], MATCH(1, (wOver[Heuristic]=Table46[[#Headers],[FCFS]]) * (wOver[Variance] = Table46[[#This Row],[Heuristic]]), 0)), "")</f>
        <v>6.1188234163113049E-6</v>
      </c>
      <c r="C8" cm="1">
        <f t="array" ref="C8">IFERROR(INDEX(wOver[StDev], MATCH(1, (wOver[Heuristic]=Table46[[#Headers],[LCFS]]) * (wOver[Variance] = Table46[[#This Row],[Heuristic]]), 0)), "")</f>
        <v>2.1008569680013889E-5</v>
      </c>
      <c r="D8" cm="1">
        <f t="array" ref="D8">IFERROR(INDEX(wOver[StDev], MATCH(1, (wOver[Heuristic]=Table46[[#Headers],[SJF]]) * (wOver[Variance] = Table46[[#This Row],[Heuristic]]), 0)), "")</f>
        <v>3.1173065296823186E-5</v>
      </c>
      <c r="E8" cm="1">
        <f t="array" ref="E8">IFERROR(INDEX(wOver[StDev], MATCH(1, (wOver[Heuristic]=Table46[[#Headers],[LJF]]) * (wOver[Variance] = Table46[[#This Row],[Heuristic]]), 0)), "")</f>
        <v>3.6212704952820096E-5</v>
      </c>
      <c r="F8" cm="1">
        <f t="array" ref="F8">IFERROR(INDEX(wOver[StDev], MATCH(1, (wOver[Heuristic]=Table46[[#Headers],[RR]]) * (wOver[Variance] = Table46[[#This Row],[Heuristic]]), 0)), "")</f>
        <v>7.6157731058639085E-6</v>
      </c>
      <c r="G8" cm="1">
        <f t="array" ref="G8">IFERROR(INDEX(wOver[StDev], MATCH(1, (wOver[Heuristic]=Table46[[#Headers],[LBW]]) * (wOver[Variance] = Table46[[#This Row],[Heuristic]]), 0)), "")</f>
        <v>7.4188947963965728E-6</v>
      </c>
      <c r="H8" cm="1">
        <f t="array" ref="H8">IFERROR(INDEX(wOver[StDev], MATCH(1, (wOver[Heuristic]=Table46[[#Headers],[WS]]) * (wOver[Variance] = Table46[[#This Row],[Heuristic]]), 0)), "")</f>
        <v>7.2111025509279733E-6</v>
      </c>
    </row>
    <row r="9" spans="1:11" x14ac:dyDescent="0.45">
      <c r="A9">
        <v>0.31</v>
      </c>
      <c r="B9" cm="1">
        <f t="array" ref="B9">IFERROR(INDEX(wOver[StDev], MATCH(1, (wOver[Heuristic]=Table46[[#Headers],[FCFS]]) * (wOver[Variance] = Table46[[#This Row],[Heuristic]]), 0)), "")</f>
        <v>1.5844241856270701E-5</v>
      </c>
      <c r="C9" cm="1">
        <f t="array" ref="C9">IFERROR(INDEX(wOver[StDev], MATCH(1, (wOver[Heuristic]=Table46[[#Headers],[LCFS]]) * (wOver[Variance] = Table46[[#This Row],[Heuristic]]), 0)), "")</f>
        <v>1.4008568806269984E-5</v>
      </c>
      <c r="D9" cm="1">
        <f t="array" ref="D9">IFERROR(INDEX(wOver[StDev], MATCH(1, (wOver[Heuristic]=Table46[[#Headers],[SJF]]) * (wOver[Variance] = Table46[[#This Row],[Heuristic]]), 0)), "")</f>
        <v>2.6290682760247977E-5</v>
      </c>
      <c r="E9" cm="1">
        <f t="array" ref="E9">IFERROR(INDEX(wOver[StDev], MATCH(1, (wOver[Heuristic]=Table46[[#Headers],[LJF]]) * (wOver[Variance] = Table46[[#This Row],[Heuristic]]), 0)), "")</f>
        <v>6.8992753242641396E-6</v>
      </c>
      <c r="F9" cm="1">
        <f t="array" ref="F9">IFERROR(INDEX(wOver[StDev], MATCH(1, (wOver[Heuristic]=Table46[[#Headers],[RR]]) * (wOver[Variance] = Table46[[#This Row],[Heuristic]]), 0)), "")</f>
        <v>1.2000000000000005E-5</v>
      </c>
      <c r="G9" cm="1">
        <f t="array" ref="G9">IFERROR(INDEX(wOver[StDev], MATCH(1, (wOver[Heuristic]=Table46[[#Headers],[LBW]]) * (wOver[Variance] = Table46[[#This Row],[Heuristic]]), 0)), "")</f>
        <v>1.7034083479894079E-5</v>
      </c>
      <c r="H9" cm="1">
        <f t="array" ref="H9">IFERROR(INDEX(wOver[StDev], MATCH(1, (wOver[Heuristic]=Table46[[#Headers],[WS]]) * (wOver[Variance] = Table46[[#This Row],[Heuristic]]), 0)), "")</f>
        <v>6.3874877690685201E-6</v>
      </c>
    </row>
    <row r="10" spans="1:11" x14ac:dyDescent="0.45">
      <c r="A10">
        <v>0.56000000000000005</v>
      </c>
      <c r="B10" cm="1">
        <f t="array" ref="B10">IFERROR(INDEX(wOver[StDev], MATCH(1, (wOver[Heuristic]=Table46[[#Headers],[FCFS]]) * (wOver[Variance] = Table46[[#This Row],[Heuristic]]), 0)), "")</f>
        <v>1.3661625086350453E-5</v>
      </c>
      <c r="C10" cm="1">
        <f t="array" ref="C10">IFERROR(INDEX(wOver[StDev], MATCH(1, (wOver[Heuristic]=Table46[[#Headers],[LCFS]]) * (wOver[Variance] = Table46[[#This Row],[Heuristic]]), 0)), "")</f>
        <v>2.2817537115122664E-5</v>
      </c>
      <c r="D10" cm="1">
        <f t="array" ref="D10">IFERROR(INDEX(wOver[StDev], MATCH(1, (wOver[Heuristic]=Table46[[#Headers],[SJF]]) * (wOver[Variance] = Table46[[#This Row],[Heuristic]]), 0)), "")</f>
        <v>3.6930204440268182E-5</v>
      </c>
      <c r="E10" cm="1">
        <f t="array" ref="E10">IFERROR(INDEX(wOver[StDev], MATCH(1, (wOver[Heuristic]=Table46[[#Headers],[LJF]]) * (wOver[Variance] = Table46[[#This Row],[Heuristic]]), 0)), "")</f>
        <v>3.0342050029620619E-5</v>
      </c>
      <c r="F10" cm="1">
        <f t="array" ref="F10">IFERROR(INDEX(wOver[StDev], MATCH(1, (wOver[Heuristic]=Table46[[#Headers],[RR]]) * (wOver[Variance] = Table46[[#This Row],[Heuristic]]), 0)), "")</f>
        <v>1.2280065146407006E-5</v>
      </c>
      <c r="G10" cm="1">
        <f t="array" ref="G10">IFERROR(INDEX(wOver[StDev], MATCH(1, (wOver[Heuristic]=Table46[[#Headers],[LBW]]) * (wOver[Variance] = Table46[[#This Row],[Heuristic]]), 0)), "")</f>
        <v>1.8583863968507716E-5</v>
      </c>
      <c r="H10" cm="1">
        <f t="array" ref="H10">IFERROR(INDEX(wOver[StDev], MATCH(1, (wOver[Heuristic]=Table46[[#Headers],[WS]]) * (wOver[Variance] = Table46[[#This Row],[Heuristic]]), 0)), "")</f>
        <v>1.9276929216034402E-5</v>
      </c>
      <c r="K10" t="s">
        <v>22</v>
      </c>
    </row>
    <row r="11" spans="1:11" x14ac:dyDescent="0.45">
      <c r="A11">
        <v>1</v>
      </c>
      <c r="B11" cm="1">
        <f t="array" ref="B11">IFERROR(INDEX(wOver[StDev], MATCH(1, (wOver[Heuristic]=Table46[[#Headers],[FCFS]]) * (wOver[Variance] = Table46[[#This Row],[Heuristic]]), 0)), "")</f>
        <v>1.5816447135814034E-5</v>
      </c>
      <c r="C11" cm="1">
        <f t="array" ref="C11">IFERROR(INDEX(wOver[StDev], MATCH(1, (wOver[Heuristic]=Table46[[#Headers],[LCFS]]) * (wOver[Variance] = Table46[[#This Row],[Heuristic]]), 0)), "")</f>
        <v>3.3355059586215704E-5</v>
      </c>
      <c r="D11" cm="1">
        <f t="array" ref="D11">IFERROR(INDEX(wOver[StDev], MATCH(1, (wOver[Heuristic]=Table46[[#Headers],[SJF]]) * (wOver[Variance] = Table46[[#This Row],[Heuristic]]), 0)), "")</f>
        <v>4.054922933916255E-5</v>
      </c>
      <c r="E11" cm="1">
        <f t="array" ref="E11">IFERROR(INDEX(wOver[StDev], MATCH(1, (wOver[Heuristic]=Table46[[#Headers],[LJF]]) * (wOver[Variance] = Table46[[#This Row],[Heuristic]]), 0)), "")</f>
        <v>3.8049441520211553E-5</v>
      </c>
      <c r="F11" cm="1">
        <f t="array" ref="F11">IFERROR(INDEX(wOver[StDev], MATCH(1, (wOver[Heuristic]=Table46[[#Headers],[RR]]) * (wOver[Variance] = Table46[[#This Row],[Heuristic]]), 0)), "")</f>
        <v>1.2837445228704971E-5</v>
      </c>
      <c r="G11" cm="1">
        <f t="array" ref="G11">IFERROR(INDEX(wOver[StDev], MATCH(1, (wOver[Heuristic]=Table46[[#Headers],[LBW]]) * (wOver[Variance] = Table46[[#This Row],[Heuristic]]), 0)), "")</f>
        <v>2.8251725611013567E-5</v>
      </c>
      <c r="H11" cm="1">
        <f t="array" ref="H11">IFERROR(INDEX(wOver[StDev], MATCH(1, (wOver[Heuristic]=Table46[[#Headers],[WS]]) * (wOver[Variance] = Table46[[#This Row],[Heuristic]]), 0)), "")</f>
        <v>3.0113120064184643E-5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2E635-5F23-4839-8BC6-41B964FE5D14}">
  <dimension ref="A1"/>
  <sheetViews>
    <sheetView workbookViewId="0">
      <selection activeCell="A2" sqref="A2"/>
    </sheetView>
  </sheetViews>
  <sheetFormatPr baseColWidth="10" defaultRowHeight="14.25" x14ac:dyDescent="0.45"/>
  <sheetData>
    <row r="1" spans="1:1" x14ac:dyDescent="0.45">
      <c r="A1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7C83AE6-2E13-4D88-8DC6-335438BFB9C6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1e586649-7317-42fb-8949-66923d34ba7e}" enabled="0" method="" siteId="{1e586649-7317-42fb-8949-66923d34ba7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wTask</vt:lpstr>
      <vt:lpstr>wOver</vt:lpstr>
      <vt:lpstr>Ratios</vt:lpstr>
      <vt:lpstr>task time stdev</vt:lpstr>
      <vt:lpstr>overhead time stdev</vt:lpstr>
      <vt:lpstr>Graphs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Némo Chentre</dc:creator>
  <cp:lastModifiedBy>Némo Chentre</cp:lastModifiedBy>
  <dcterms:created xsi:type="dcterms:W3CDTF">2025-05-19T13:26:17Z</dcterms:created>
  <dcterms:modified xsi:type="dcterms:W3CDTF">2025-08-06T09:52:08Z</dcterms:modified>
</cp:coreProperties>
</file>