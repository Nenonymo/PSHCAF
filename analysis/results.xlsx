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stockholmuniversity-my.sharepoint.com/personal/nech2600_win_su_se/Documents/PSHCAF/analysis/"/>
    </mc:Choice>
  </mc:AlternateContent>
  <xr:revisionPtr revIDLastSave="326" documentId="8_{2793F56E-9C25-4C3B-BEFC-07BEA0E0510D}" xr6:coauthVersionLast="47" xr6:coauthVersionMax="47" xr10:uidLastSave="{A5D1721D-428B-47B4-87A5-1502B305CD26}"/>
  <bookViews>
    <workbookView xWindow="-98" yWindow="-98" windowWidth="28996" windowHeight="15675" activeTab="3" xr2:uid="{3A8DD828-E0D5-40AE-9AFF-68DADB20DF39}"/>
  </bookViews>
  <sheets>
    <sheet name="wTask" sheetId="3" r:id="rId1"/>
    <sheet name="wOver" sheetId="2" r:id="rId2"/>
    <sheet name="Ratios" sheetId="1" r:id="rId3"/>
    <sheet name="task time stdev" sheetId="4" r:id="rId4"/>
  </sheets>
  <definedNames>
    <definedName name="ExternalData_1" localSheetId="1" hidden="1">wOver!$A$1:$H$71</definedName>
    <definedName name="ExternalData_2" localSheetId="0" hidden="1">wTask!$A$1:$H$71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J2" i="3"/>
  <c r="B2" i="4" s="1" a="1"/>
  <c r="B2" i="4" s="1"/>
  <c r="J3" i="3"/>
  <c r="B3" i="4" s="1" a="1"/>
  <c r="B3" i="4" s="1"/>
  <c r="J4" i="3"/>
  <c r="B4" i="4" s="1" a="1"/>
  <c r="B4" i="4" s="1"/>
  <c r="J5" i="3"/>
  <c r="B5" i="4" s="1" a="1"/>
  <c r="B5" i="4" s="1"/>
  <c r="J6" i="3"/>
  <c r="B6" i="4" s="1" a="1"/>
  <c r="B6" i="4" s="1"/>
  <c r="J7" i="3"/>
  <c r="B7" i="4" s="1" a="1"/>
  <c r="B7" i="4" s="1"/>
  <c r="J8" i="3"/>
  <c r="B8" i="4" s="1" a="1"/>
  <c r="B8" i="4" s="1"/>
  <c r="J9" i="3"/>
  <c r="B9" i="4" s="1" a="1"/>
  <c r="B9" i="4" s="1"/>
  <c r="J10" i="3"/>
  <c r="B10" i="4" s="1" a="1"/>
  <c r="B10" i="4" s="1"/>
  <c r="J11" i="3"/>
  <c r="B11" i="4" s="1" a="1"/>
  <c r="B11" i="4" s="1"/>
  <c r="J22" i="3"/>
  <c r="D2" i="4" s="1" a="1"/>
  <c r="D2" i="4" s="1"/>
  <c r="J23" i="3"/>
  <c r="D3" i="4" s="1" a="1"/>
  <c r="D3" i="4" s="1"/>
  <c r="J24" i="3"/>
  <c r="D4" i="4" s="1" a="1"/>
  <c r="D4" i="4" s="1"/>
  <c r="J25" i="3"/>
  <c r="D5" i="4" s="1" a="1"/>
  <c r="D5" i="4" s="1"/>
  <c r="J26" i="3"/>
  <c r="D6" i="4" s="1" a="1"/>
  <c r="D6" i="4" s="1"/>
  <c r="J27" i="3"/>
  <c r="D7" i="4" s="1" a="1"/>
  <c r="D7" i="4" s="1"/>
  <c r="J28" i="3"/>
  <c r="D8" i="4" s="1" a="1"/>
  <c r="D8" i="4" s="1"/>
  <c r="J29" i="3"/>
  <c r="D9" i="4" s="1" a="1"/>
  <c r="D9" i="4" s="1"/>
  <c r="J30" i="3"/>
  <c r="D10" i="4" s="1" a="1"/>
  <c r="D10" i="4" s="1"/>
  <c r="J31" i="3"/>
  <c r="D11" i="4" s="1" a="1"/>
  <c r="D11" i="4" s="1"/>
  <c r="J52" i="3"/>
  <c r="G2" i="4" s="1" a="1"/>
  <c r="G2" i="4" s="1"/>
  <c r="J53" i="3"/>
  <c r="G3" i="4" s="1" a="1"/>
  <c r="G3" i="4" s="1"/>
  <c r="J54" i="3"/>
  <c r="G4" i="4" s="1" a="1"/>
  <c r="G4" i="4" s="1"/>
  <c r="J55" i="3"/>
  <c r="G5" i="4" s="1" a="1"/>
  <c r="G5" i="4" s="1"/>
  <c r="J56" i="3"/>
  <c r="G6" i="4" s="1" a="1"/>
  <c r="G6" i="4" s="1"/>
  <c r="J57" i="3"/>
  <c r="G7" i="4" s="1" a="1"/>
  <c r="G7" i="4" s="1"/>
  <c r="J58" i="3"/>
  <c r="G8" i="4" s="1" a="1"/>
  <c r="G8" i="4" s="1"/>
  <c r="J59" i="3"/>
  <c r="G9" i="4" s="1" a="1"/>
  <c r="G9" i="4" s="1"/>
  <c r="J60" i="3"/>
  <c r="G10" i="4" s="1" a="1"/>
  <c r="G10" i="4" s="1"/>
  <c r="J61" i="3"/>
  <c r="G11" i="4" s="1" a="1"/>
  <c r="G11" i="4" s="1"/>
  <c r="J32" i="3"/>
  <c r="E2" i="4" s="1" a="1"/>
  <c r="E2" i="4" s="1"/>
  <c r="J33" i="3"/>
  <c r="E3" i="4" s="1" a="1"/>
  <c r="E3" i="4" s="1"/>
  <c r="J34" i="3"/>
  <c r="E4" i="4" s="1" a="1"/>
  <c r="E4" i="4" s="1"/>
  <c r="J35" i="3"/>
  <c r="E5" i="4" s="1" a="1"/>
  <c r="E5" i="4" s="1"/>
  <c r="J36" i="3"/>
  <c r="E6" i="4" s="1" a="1"/>
  <c r="E6" i="4" s="1"/>
  <c r="J37" i="3"/>
  <c r="E7" i="4" s="1" a="1"/>
  <c r="E7" i="4" s="1"/>
  <c r="J38" i="3"/>
  <c r="E8" i="4" s="1" a="1"/>
  <c r="E8" i="4" s="1"/>
  <c r="J39" i="3"/>
  <c r="E9" i="4" s="1" a="1"/>
  <c r="E9" i="4" s="1"/>
  <c r="J40" i="3"/>
  <c r="E10" i="4" s="1" a="1"/>
  <c r="E10" i="4" s="1"/>
  <c r="J41" i="3"/>
  <c r="E11" i="4" s="1" a="1"/>
  <c r="E11" i="4" s="1"/>
  <c r="J42" i="3"/>
  <c r="F2" i="4" s="1" a="1"/>
  <c r="F2" i="4" s="1"/>
  <c r="J43" i="3"/>
  <c r="F3" i="4" s="1" a="1"/>
  <c r="F3" i="4" s="1"/>
  <c r="J44" i="3"/>
  <c r="F4" i="4" s="1" a="1"/>
  <c r="F4" i="4" s="1"/>
  <c r="J45" i="3"/>
  <c r="F5" i="4" s="1" a="1"/>
  <c r="F5" i="4" s="1"/>
  <c r="J46" i="3"/>
  <c r="F6" i="4" s="1" a="1"/>
  <c r="F6" i="4" s="1"/>
  <c r="J47" i="3"/>
  <c r="F7" i="4" s="1" a="1"/>
  <c r="F7" i="4" s="1"/>
  <c r="J48" i="3"/>
  <c r="F8" i="4" s="1" a="1"/>
  <c r="F8" i="4" s="1"/>
  <c r="J49" i="3"/>
  <c r="F9" i="4" s="1" a="1"/>
  <c r="F9" i="4" s="1"/>
  <c r="J50" i="3"/>
  <c r="F10" i="4" s="1" a="1"/>
  <c r="F10" i="4" s="1"/>
  <c r="J51" i="3"/>
  <c r="F11" i="4" s="1" a="1"/>
  <c r="F11" i="4" s="1"/>
  <c r="J12" i="3"/>
  <c r="C2" i="4" s="1" a="1"/>
  <c r="C2" i="4" s="1"/>
  <c r="J13" i="3"/>
  <c r="C3" i="4" s="1" a="1"/>
  <c r="C3" i="4" s="1"/>
  <c r="J14" i="3"/>
  <c r="C4" i="4" s="1" a="1"/>
  <c r="C4" i="4" s="1"/>
  <c r="J15" i="3"/>
  <c r="C5" i="4" s="1" a="1"/>
  <c r="C5" i="4" s="1"/>
  <c r="J16" i="3"/>
  <c r="C6" i="4" s="1" a="1"/>
  <c r="C6" i="4" s="1"/>
  <c r="J17" i="3"/>
  <c r="C7" i="4" s="1" a="1"/>
  <c r="C7" i="4" s="1"/>
  <c r="J18" i="3"/>
  <c r="C8" i="4" s="1" a="1"/>
  <c r="C8" i="4" s="1"/>
  <c r="J19" i="3"/>
  <c r="C9" i="4" s="1" a="1"/>
  <c r="C9" i="4" s="1"/>
  <c r="J20" i="3"/>
  <c r="C10" i="4" s="1" a="1"/>
  <c r="C10" i="4" s="1"/>
  <c r="J21" i="3"/>
  <c r="C11" i="4" s="1" a="1"/>
  <c r="C11" i="4" s="1"/>
  <c r="J62" i="3"/>
  <c r="H2" i="4" s="1" a="1"/>
  <c r="H2" i="4" s="1"/>
  <c r="J63" i="3"/>
  <c r="H3" i="4" s="1" a="1"/>
  <c r="H3" i="4" s="1"/>
  <c r="J64" i="3"/>
  <c r="H4" i="4" s="1" a="1"/>
  <c r="H4" i="4" s="1"/>
  <c r="J65" i="3"/>
  <c r="H5" i="4" s="1" a="1"/>
  <c r="H5" i="4" s="1"/>
  <c r="J66" i="3"/>
  <c r="H6" i="4" s="1" a="1"/>
  <c r="H6" i="4" s="1"/>
  <c r="J67" i="3"/>
  <c r="H7" i="4" s="1" a="1"/>
  <c r="H7" i="4" s="1"/>
  <c r="J68" i="3"/>
  <c r="H8" i="4" s="1" a="1"/>
  <c r="H8" i="4" s="1"/>
  <c r="J69" i="3"/>
  <c r="H9" i="4" s="1" a="1"/>
  <c r="H9" i="4" s="1"/>
  <c r="J70" i="3"/>
  <c r="H10" i="4" s="1" a="1"/>
  <c r="H10" i="4" s="1"/>
  <c r="J71" i="3"/>
  <c r="H11" i="4" s="1" a="1"/>
  <c r="H11" i="4" s="1"/>
  <c r="I2" i="3"/>
  <c r="K2" i="1" s="1"/>
  <c r="I3" i="3"/>
  <c r="K3" i="1" s="1"/>
  <c r="I4" i="3"/>
  <c r="K4" i="1" s="1"/>
  <c r="I5" i="3"/>
  <c r="K5" i="1" s="1"/>
  <c r="I6" i="3"/>
  <c r="K6" i="1" s="1"/>
  <c r="I7" i="3"/>
  <c r="K7" i="1" s="1"/>
  <c r="I8" i="3"/>
  <c r="K8" i="1" s="1"/>
  <c r="I9" i="3"/>
  <c r="K9" i="1" s="1"/>
  <c r="I10" i="3"/>
  <c r="K10" i="1" s="1"/>
  <c r="I11" i="3"/>
  <c r="K11" i="1" s="1"/>
  <c r="I22" i="3"/>
  <c r="K22" i="1" s="1"/>
  <c r="I23" i="3"/>
  <c r="K23" i="1" s="1"/>
  <c r="I24" i="3"/>
  <c r="K24" i="1" s="1"/>
  <c r="I25" i="3"/>
  <c r="K25" i="1" s="1"/>
  <c r="I26" i="3"/>
  <c r="K26" i="1" s="1"/>
  <c r="I27" i="3"/>
  <c r="K27" i="1" s="1"/>
  <c r="I28" i="3"/>
  <c r="K28" i="1" s="1"/>
  <c r="I29" i="3"/>
  <c r="K29" i="1" s="1"/>
  <c r="I30" i="3"/>
  <c r="K30" i="1" s="1"/>
  <c r="I31" i="3"/>
  <c r="K31" i="1" s="1"/>
  <c r="I52" i="3"/>
  <c r="K52" i="1" s="1"/>
  <c r="I53" i="3"/>
  <c r="K53" i="1" s="1"/>
  <c r="I54" i="3"/>
  <c r="K54" i="1" s="1"/>
  <c r="I55" i="3"/>
  <c r="K55" i="1" s="1"/>
  <c r="I56" i="3"/>
  <c r="K56" i="1" s="1"/>
  <c r="I57" i="3"/>
  <c r="K57" i="1" s="1"/>
  <c r="I58" i="3"/>
  <c r="K58" i="1" s="1"/>
  <c r="I59" i="3"/>
  <c r="K59" i="1" s="1"/>
  <c r="I60" i="3"/>
  <c r="K60" i="1" s="1"/>
  <c r="I61" i="3"/>
  <c r="K61" i="1" s="1"/>
  <c r="I32" i="3"/>
  <c r="K32" i="1" s="1"/>
  <c r="I33" i="3"/>
  <c r="K33" i="1" s="1"/>
  <c r="I34" i="3"/>
  <c r="K34" i="1" s="1"/>
  <c r="I35" i="3"/>
  <c r="K35" i="1" s="1"/>
  <c r="I36" i="3"/>
  <c r="K36" i="1" s="1"/>
  <c r="I37" i="3"/>
  <c r="K37" i="1" s="1"/>
  <c r="I38" i="3"/>
  <c r="K38" i="1" s="1"/>
  <c r="I39" i="3"/>
  <c r="K39" i="1" s="1"/>
  <c r="I40" i="3"/>
  <c r="K40" i="1" s="1"/>
  <c r="I41" i="3"/>
  <c r="K41" i="1" s="1"/>
  <c r="I42" i="3"/>
  <c r="K42" i="1" s="1"/>
  <c r="I43" i="3"/>
  <c r="K43" i="1" s="1"/>
  <c r="I44" i="3"/>
  <c r="K44" i="1" s="1"/>
  <c r="I45" i="3"/>
  <c r="K45" i="1" s="1"/>
  <c r="I46" i="3"/>
  <c r="K46" i="1" s="1"/>
  <c r="I47" i="3"/>
  <c r="K47" i="1" s="1"/>
  <c r="I48" i="3"/>
  <c r="K48" i="1" s="1"/>
  <c r="I49" i="3"/>
  <c r="K49" i="1" s="1"/>
  <c r="I50" i="3"/>
  <c r="K50" i="1" s="1"/>
  <c r="I51" i="3"/>
  <c r="K51" i="1" s="1"/>
  <c r="I12" i="3"/>
  <c r="K12" i="1" s="1"/>
  <c r="I13" i="3"/>
  <c r="K13" i="1" s="1"/>
  <c r="I14" i="3"/>
  <c r="K14" i="1" s="1"/>
  <c r="I15" i="3"/>
  <c r="K15" i="1" s="1"/>
  <c r="I16" i="3"/>
  <c r="K16" i="1" s="1"/>
  <c r="I17" i="3"/>
  <c r="K17" i="1" s="1"/>
  <c r="I18" i="3"/>
  <c r="K18" i="1" s="1"/>
  <c r="I19" i="3"/>
  <c r="K19" i="1" s="1"/>
  <c r="I20" i="3"/>
  <c r="K20" i="1" s="1"/>
  <c r="I21" i="3"/>
  <c r="K21" i="1" s="1"/>
  <c r="I62" i="3"/>
  <c r="K62" i="1" s="1"/>
  <c r="I63" i="3"/>
  <c r="K63" i="1" s="1"/>
  <c r="I64" i="3"/>
  <c r="K64" i="1" s="1"/>
  <c r="I65" i="3"/>
  <c r="K65" i="1" s="1"/>
  <c r="I66" i="3"/>
  <c r="K66" i="1" s="1"/>
  <c r="I67" i="3"/>
  <c r="K67" i="1" s="1"/>
  <c r="I68" i="3"/>
  <c r="K68" i="1" s="1"/>
  <c r="I69" i="3"/>
  <c r="K69" i="1" s="1"/>
  <c r="I70" i="3"/>
  <c r="K70" i="1" s="1"/>
  <c r="I71" i="3"/>
  <c r="K71" i="1" s="1"/>
  <c r="J2" i="2"/>
  <c r="J3" i="2"/>
  <c r="J4" i="2"/>
  <c r="J5" i="2"/>
  <c r="J6" i="2"/>
  <c r="J7" i="2"/>
  <c r="J8" i="2"/>
  <c r="J9" i="2"/>
  <c r="J10" i="2"/>
  <c r="J11" i="2"/>
  <c r="J22" i="2"/>
  <c r="J23" i="2"/>
  <c r="J24" i="2"/>
  <c r="J25" i="2"/>
  <c r="J26" i="2"/>
  <c r="J27" i="2"/>
  <c r="J28" i="2"/>
  <c r="J29" i="2"/>
  <c r="J30" i="2"/>
  <c r="J31" i="2"/>
  <c r="J52" i="2"/>
  <c r="J53" i="2"/>
  <c r="J54" i="2"/>
  <c r="J55" i="2"/>
  <c r="J56" i="2"/>
  <c r="J57" i="2"/>
  <c r="J58" i="2"/>
  <c r="J59" i="2"/>
  <c r="J60" i="2"/>
  <c r="J6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12" i="2"/>
  <c r="J13" i="2"/>
  <c r="J14" i="2"/>
  <c r="J15" i="2"/>
  <c r="J16" i="2"/>
  <c r="J17" i="2"/>
  <c r="J18" i="2"/>
  <c r="J19" i="2"/>
  <c r="J20" i="2"/>
  <c r="J21" i="2"/>
  <c r="J62" i="2"/>
  <c r="J63" i="2"/>
  <c r="J64" i="2"/>
  <c r="J65" i="2"/>
  <c r="J66" i="2"/>
  <c r="J67" i="2"/>
  <c r="J68" i="2"/>
  <c r="J69" i="2"/>
  <c r="J70" i="2"/>
  <c r="J71" i="2"/>
  <c r="I2" i="2"/>
  <c r="L2" i="1" s="1"/>
  <c r="I3" i="2"/>
  <c r="L3" i="1" s="1"/>
  <c r="I4" i="2"/>
  <c r="L4" i="1" s="1"/>
  <c r="I5" i="2"/>
  <c r="L5" i="1" s="1"/>
  <c r="I6" i="2"/>
  <c r="L6" i="1" s="1"/>
  <c r="I7" i="2"/>
  <c r="L7" i="1" s="1"/>
  <c r="I8" i="2"/>
  <c r="L8" i="1" s="1"/>
  <c r="I9" i="2"/>
  <c r="L9" i="1" s="1"/>
  <c r="I10" i="2"/>
  <c r="L10" i="1" s="1"/>
  <c r="I11" i="2"/>
  <c r="L11" i="1" s="1"/>
  <c r="I22" i="2"/>
  <c r="L22" i="1" s="1"/>
  <c r="I23" i="2"/>
  <c r="L23" i="1" s="1"/>
  <c r="I24" i="2"/>
  <c r="L24" i="1" s="1"/>
  <c r="I25" i="2"/>
  <c r="L25" i="1" s="1"/>
  <c r="I26" i="2"/>
  <c r="L26" i="1" s="1"/>
  <c r="I27" i="2"/>
  <c r="L27" i="1" s="1"/>
  <c r="I28" i="2"/>
  <c r="L28" i="1" s="1"/>
  <c r="I29" i="2"/>
  <c r="L29" i="1" s="1"/>
  <c r="I30" i="2"/>
  <c r="L30" i="1" s="1"/>
  <c r="I31" i="2"/>
  <c r="L31" i="1" s="1"/>
  <c r="I52" i="2"/>
  <c r="L52" i="1" s="1"/>
  <c r="I53" i="2"/>
  <c r="L53" i="1" s="1"/>
  <c r="I54" i="2"/>
  <c r="L54" i="1" s="1"/>
  <c r="I55" i="2"/>
  <c r="L55" i="1" s="1"/>
  <c r="I56" i="2"/>
  <c r="L56" i="1" s="1"/>
  <c r="I57" i="2"/>
  <c r="L57" i="1" s="1"/>
  <c r="I58" i="2"/>
  <c r="L58" i="1" s="1"/>
  <c r="I59" i="2"/>
  <c r="L59" i="1" s="1"/>
  <c r="I60" i="2"/>
  <c r="L60" i="1" s="1"/>
  <c r="I61" i="2"/>
  <c r="L61" i="1" s="1"/>
  <c r="I32" i="2"/>
  <c r="L32" i="1" s="1"/>
  <c r="I33" i="2"/>
  <c r="L33" i="1" s="1"/>
  <c r="I34" i="2"/>
  <c r="L34" i="1" s="1"/>
  <c r="I35" i="2"/>
  <c r="L35" i="1" s="1"/>
  <c r="I36" i="2"/>
  <c r="L36" i="1" s="1"/>
  <c r="I37" i="2"/>
  <c r="L37" i="1" s="1"/>
  <c r="I38" i="2"/>
  <c r="L38" i="1" s="1"/>
  <c r="I39" i="2"/>
  <c r="L39" i="1" s="1"/>
  <c r="I40" i="2"/>
  <c r="L40" i="1" s="1"/>
  <c r="I41" i="2"/>
  <c r="L41" i="1" s="1"/>
  <c r="I42" i="2"/>
  <c r="L42" i="1" s="1"/>
  <c r="I43" i="2"/>
  <c r="L43" i="1" s="1"/>
  <c r="I44" i="2"/>
  <c r="L44" i="1" s="1"/>
  <c r="I45" i="2"/>
  <c r="L45" i="1" s="1"/>
  <c r="I46" i="2"/>
  <c r="L46" i="1" s="1"/>
  <c r="I47" i="2"/>
  <c r="L47" i="1" s="1"/>
  <c r="I48" i="2"/>
  <c r="L48" i="1" s="1"/>
  <c r="I49" i="2"/>
  <c r="L49" i="1" s="1"/>
  <c r="I50" i="2"/>
  <c r="L50" i="1" s="1"/>
  <c r="I51" i="2"/>
  <c r="L51" i="1" s="1"/>
  <c r="I12" i="2"/>
  <c r="L12" i="1" s="1"/>
  <c r="I13" i="2"/>
  <c r="L13" i="1" s="1"/>
  <c r="I14" i="2"/>
  <c r="L14" i="1" s="1"/>
  <c r="I15" i="2"/>
  <c r="L15" i="1" s="1"/>
  <c r="I16" i="2"/>
  <c r="L16" i="1" s="1"/>
  <c r="I17" i="2"/>
  <c r="L17" i="1" s="1"/>
  <c r="I18" i="2"/>
  <c r="L18" i="1" s="1"/>
  <c r="I19" i="2"/>
  <c r="L19" i="1" s="1"/>
  <c r="I20" i="2"/>
  <c r="L20" i="1" s="1"/>
  <c r="I21" i="2"/>
  <c r="L21" i="1" s="1"/>
  <c r="I62" i="2"/>
  <c r="L62" i="1" s="1"/>
  <c r="I63" i="2"/>
  <c r="L63" i="1" s="1"/>
  <c r="I64" i="2"/>
  <c r="L64" i="1" s="1"/>
  <c r="I65" i="2"/>
  <c r="L65" i="1" s="1"/>
  <c r="I66" i="2"/>
  <c r="L66" i="1" s="1"/>
  <c r="I67" i="2"/>
  <c r="L67" i="1" s="1"/>
  <c r="I68" i="2"/>
  <c r="L68" i="1" s="1"/>
  <c r="I69" i="2"/>
  <c r="L69" i="1" s="1"/>
  <c r="I70" i="2"/>
  <c r="L70" i="1" s="1"/>
  <c r="I71" i="2"/>
  <c r="L71" i="1" s="1"/>
  <c r="I64" i="1" l="1"/>
  <c r="I56" i="1"/>
  <c r="I48" i="1"/>
  <c r="I40" i="1"/>
  <c r="I32" i="1"/>
  <c r="I24" i="1"/>
  <c r="I16" i="1"/>
  <c r="I8" i="1"/>
  <c r="I55" i="1"/>
  <c r="I71" i="1"/>
  <c r="I47" i="1"/>
  <c r="I31" i="1"/>
  <c r="I7" i="1"/>
  <c r="I63" i="1"/>
  <c r="I39" i="1"/>
  <c r="I23" i="1"/>
  <c r="I15" i="1"/>
  <c r="I65" i="1"/>
  <c r="I57" i="1"/>
  <c r="I49" i="1"/>
  <c r="I41" i="1"/>
  <c r="I33" i="1"/>
  <c r="I25" i="1"/>
  <c r="I17" i="1"/>
  <c r="I9" i="1"/>
  <c r="J67" i="1"/>
  <c r="J59" i="1"/>
  <c r="J51" i="1"/>
  <c r="J43" i="1"/>
  <c r="J35" i="1"/>
  <c r="J27" i="1"/>
  <c r="J19" i="1"/>
  <c r="J11" i="1"/>
  <c r="J3" i="1"/>
  <c r="J66" i="1"/>
  <c r="J58" i="1"/>
  <c r="J50" i="1"/>
  <c r="J42" i="1"/>
  <c r="J34" i="1"/>
  <c r="J26" i="1"/>
  <c r="J18" i="1"/>
  <c r="J10" i="1"/>
  <c r="J2" i="1"/>
  <c r="I70" i="1"/>
  <c r="I62" i="1"/>
  <c r="I54" i="1"/>
  <c r="I46" i="1"/>
  <c r="I38" i="1"/>
  <c r="I30" i="1"/>
  <c r="I22" i="1"/>
  <c r="I14" i="1"/>
  <c r="I6" i="1"/>
  <c r="I69" i="1"/>
  <c r="I61" i="1"/>
  <c r="I53" i="1"/>
  <c r="I45" i="1"/>
  <c r="I37" i="1"/>
  <c r="I29" i="1"/>
  <c r="I21" i="1"/>
  <c r="I13" i="1"/>
  <c r="I5" i="1"/>
  <c r="I68" i="1"/>
  <c r="I60" i="1"/>
  <c r="I52" i="1"/>
  <c r="I44" i="1"/>
  <c r="I36" i="1"/>
  <c r="I28" i="1"/>
  <c r="I20" i="1"/>
  <c r="I12" i="1"/>
  <c r="I4" i="1"/>
  <c r="I67" i="1"/>
  <c r="I59" i="1"/>
  <c r="I51" i="1"/>
  <c r="I43" i="1"/>
  <c r="I35" i="1"/>
  <c r="I27" i="1"/>
  <c r="I19" i="1"/>
  <c r="I11" i="1"/>
  <c r="I3" i="1"/>
  <c r="J65" i="1"/>
  <c r="J57" i="1"/>
  <c r="J49" i="1"/>
  <c r="J41" i="1"/>
  <c r="J33" i="1"/>
  <c r="J25" i="1"/>
  <c r="J17" i="1"/>
  <c r="J9" i="1"/>
  <c r="I66" i="1"/>
  <c r="I58" i="1"/>
  <c r="I50" i="1"/>
  <c r="I42" i="1"/>
  <c r="I34" i="1"/>
  <c r="I26" i="1"/>
  <c r="I18" i="1"/>
  <c r="I10" i="1"/>
  <c r="I2" i="1"/>
  <c r="J64" i="1"/>
  <c r="J56" i="1"/>
  <c r="J48" i="1"/>
  <c r="J40" i="1"/>
  <c r="J32" i="1"/>
  <c r="J24" i="1"/>
  <c r="J16" i="1"/>
  <c r="J8" i="1"/>
  <c r="J71" i="1"/>
  <c r="J63" i="1"/>
  <c r="J55" i="1"/>
  <c r="J47" i="1"/>
  <c r="J39" i="1"/>
  <c r="J31" i="1"/>
  <c r="J23" i="1"/>
  <c r="J15" i="1"/>
  <c r="J7" i="1"/>
  <c r="J70" i="1"/>
  <c r="J62" i="1"/>
  <c r="J54" i="1"/>
  <c r="J46" i="1"/>
  <c r="J38" i="1"/>
  <c r="J30" i="1"/>
  <c r="J22" i="1"/>
  <c r="J14" i="1"/>
  <c r="J6" i="1"/>
  <c r="J69" i="1"/>
  <c r="J61" i="1"/>
  <c r="J53" i="1"/>
  <c r="J45" i="1"/>
  <c r="J37" i="1"/>
  <c r="J29" i="1"/>
  <c r="J21" i="1"/>
  <c r="J13" i="1"/>
  <c r="J5" i="1"/>
  <c r="J68" i="1"/>
  <c r="J60" i="1"/>
  <c r="J52" i="1"/>
  <c r="J44" i="1"/>
  <c r="J36" i="1"/>
  <c r="J28" i="1"/>
  <c r="J20" i="1"/>
  <c r="J12" i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CF550-5EC7-4E01-BF5B-196F5ACDF0EF}" keepAlive="1" name="Query - wOver" description="Connection to the 'wOver' query in the workbook." type="5" refreshedVersion="8" background="1" saveData="1">
    <dbPr connection="Provider=Microsoft.Mashup.OleDb.1;Data Source=$Workbook$;Location=wOver;Extended Properties=&quot;&quot;" command="SELECT * FROM [wOver]"/>
  </connection>
  <connection id="2" xr16:uid="{F3113641-00BB-4104-9409-F577A66D40F8}" keepAlive="1" name="Query - wTask" description="Connection to the 'wTask' query in the workbook." type="5" refreshedVersion="8" background="1" saveData="1">
    <dbPr connection="Provider=Microsoft.Mashup.OleDb.1;Data Source=$Workbook$;Location=wTask;Extended Properties=&quot;&quot;" command="SELECT * FROM [wTas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<sst xmlns="http://schemas.openxmlformats.org/spreadsheetml/2006/main" count="180" uniqueCount="20">
  <si>
    <t>FCFS</t>
  </si>
  <si>
    <t>LCFS</t>
  </si>
  <si>
    <t>SJF</t>
  </si>
  <si>
    <t>LJF</t>
  </si>
  <si>
    <t>RR</t>
  </si>
  <si>
    <t>LBW</t>
  </si>
  <si>
    <t>WS</t>
  </si>
  <si>
    <t>Heuristic</t>
  </si>
  <si>
    <t>Variance</t>
  </si>
  <si>
    <t>W1</t>
  </si>
  <si>
    <t>W2</t>
  </si>
  <si>
    <t>W3</t>
  </si>
  <si>
    <t>W4</t>
  </si>
  <si>
    <t>W5</t>
  </si>
  <si>
    <t>W6</t>
  </si>
  <si>
    <t>Mean</t>
  </si>
  <si>
    <t>StDev</t>
  </si>
  <si>
    <t>Average</t>
  </si>
  <si>
    <t>AvT</t>
  </si>
  <si>
    <t>AvO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</si>
</sst>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Ratios!$B$2:$B$11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Ratios!$I$2:$I$11</c:f>
              <c:numCache>
                <c:formatCode>General</c:formatCode>
                <c:ptCount val="10"/>
                <c:pt idx="0">
                  <c:v>5.0558410801761567E-3</c:v>
                </c:pt>
                <c:pt idx="1">
                  <c:v>4.7055185703693539E-3</c:v>
                </c:pt>
                <c:pt idx="2">
                  <c:v>4.7568406506974205E-3</c:v>
                </c:pt>
                <c:pt idx="3">
                  <c:v>4.6287267911277264E-3</c:v>
                </c:pt>
                <c:pt idx="4">
                  <c:v>4.6603418493216227E-3</c:v>
                </c:pt>
                <c:pt idx="5">
                  <c:v>4.8477582550550081E-3</c:v>
                </c:pt>
                <c:pt idx="6">
                  <c:v>4.4115611947237003E-3</c:v>
                </c:pt>
                <c:pt idx="7">
                  <c:v>5.1877407447796708E-3</c:v>
                </c:pt>
                <c:pt idx="8">
                  <c:v>4.0090763696788911E-3</c:v>
                </c:pt>
                <c:pt idx="9">
                  <c:v>6.9655251154712135E-3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C-4519-9CCD-35EB02AB9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Ratios!$B$2:$B$11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Ratios!$J$2:$J$11</c:f>
              <c:numCache>
                <c:formatCode>General</c:formatCode>
                <c:ptCount val="10"/>
                <c:pt idx="0">
                  <c:v>2.4707684722615644E-3</c:v>
                </c:pt>
                <c:pt idx="1">
                  <c:v>2.3161080874835112E-3</c:v>
                </c:pt>
                <c:pt idx="2">
                  <c:v>2.320364825323825E-3</c:v>
                </c:pt>
                <c:pt idx="3">
                  <c:v>2.2529252650538493E-3</c:v>
                </c:pt>
                <c:pt idx="4">
                  <c:v>2.2501045203503797E-3</c:v>
                </c:pt>
                <c:pt idx="5">
                  <c:v>2.3071427377252388E-3</c:v>
                </c:pt>
                <c:pt idx="6">
                  <c:v>2.2494649182742171E-3</c:v>
                </c:pt>
                <c:pt idx="7">
                  <c:v>1.6975531608631354E-3</c:v>
                </c:pt>
                <c:pt idx="8">
                  <c:v>1.9078561336307843E-3</c:v>
                </c:pt>
                <c:pt idx="9">
                  <c:v>1.0085638001366755E-3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AC-4519-9CCD-35EB02AB9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Ratios!$B$12:$B$21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Ratios!$I$12:$I$21</c:f>
              <c:numCache>
                <c:formatCode>General</c:formatCode>
                <c:ptCount val="10"/>
                <c:pt idx="0">
                  <c:v>4.8216544717466355E-3</c:v>
                </c:pt>
                <c:pt idx="1">
                  <c:v>4.5740227916628738E-3</c:v>
                </c:pt>
                <c:pt idx="2">
                  <c:v>4.562712460298394E-3</c:v>
                </c:pt>
                <c:pt idx="3">
                  <c:v>4.6094201785029159E-3</c:v>
                </c:pt>
                <c:pt idx="4">
                  <c:v>4.6019075923959141E-3</c:v>
                </c:pt>
                <c:pt idx="5">
                  <c:v>4.8295761987956444E-3</c:v>
                </c:pt>
                <c:pt idx="6">
                  <c:v>4.357593646427598E-3</c:v>
                </c:pt>
                <c:pt idx="7">
                  <c:v>5.1536305819257829E-3</c:v>
                </c:pt>
                <c:pt idx="8">
                  <c:v>4.054095881316595E-3</c:v>
                </c:pt>
                <c:pt idx="9">
                  <c:v>6.9587132003717982E-3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B9-416C-ACBA-A5332072A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Ratios!$B$12:$B$21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Ratios!$J$12:$J$21</c:f>
              <c:numCache>
                <c:formatCode>General</c:formatCode>
                <c:ptCount val="10"/>
                <c:pt idx="0">
                  <c:v>2.3549644329299989E-3</c:v>
                </c:pt>
                <c:pt idx="1">
                  <c:v>2.2396375571139375E-3</c:v>
                </c:pt>
                <c:pt idx="2">
                  <c:v>2.2166788965680305E-3</c:v>
                </c:pt>
                <c:pt idx="3">
                  <c:v>2.2633924841401996E-3</c:v>
                </c:pt>
                <c:pt idx="4">
                  <c:v>2.2214915905756677E-3</c:v>
                </c:pt>
                <c:pt idx="5">
                  <c:v>2.3001301597754369E-3</c:v>
                </c:pt>
                <c:pt idx="6">
                  <c:v>2.2226147686205595E-3</c:v>
                </c:pt>
                <c:pt idx="7">
                  <c:v>1.7787218266649652E-3</c:v>
                </c:pt>
                <c:pt idx="8">
                  <c:v>1.9436810051996615E-3</c:v>
                </c:pt>
                <c:pt idx="9">
                  <c:v>9.589695117340083E-4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B9-416C-ACBA-A5332072A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Ratios!$B$22:$B$31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Ratios!$I$22:$I$31</c:f>
              <c:numCache>
                <c:formatCode>General</c:formatCode>
                <c:ptCount val="10"/>
                <c:pt idx="0">
                  <c:v>4.8247104173495502E-3</c:v>
                </c:pt>
                <c:pt idx="1">
                  <c:v>4.6454397736755007E-3</c:v>
                </c:pt>
                <c:pt idx="2">
                  <c:v>4.5726615186263307E-3</c:v>
                </c:pt>
                <c:pt idx="3">
                  <c:v>4.5969898446013872E-3</c:v>
                </c:pt>
                <c:pt idx="4">
                  <c:v>4.6181048747014827E-3</c:v>
                </c:pt>
                <c:pt idx="5">
                  <c:v>4.7855610699423607E-3</c:v>
                </c:pt>
                <c:pt idx="6">
                  <c:v>4.3640651944778881E-3</c:v>
                </c:pt>
                <c:pt idx="7">
                  <c:v>5.0842873663991843E-3</c:v>
                </c:pt>
                <c:pt idx="8">
                  <c:v>4.0415034484630992E-3</c:v>
                </c:pt>
                <c:pt idx="9">
                  <c:v>6.6585272849531904E-3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7-4DC0-8435-17248CAE4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Ratios!$B$22:$B$31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Ratios!$J$22:$J$31</c:f>
              <c:numCache>
                <c:formatCode>General</c:formatCode>
                <c:ptCount val="10"/>
                <c:pt idx="0">
                  <c:v>2.3593966285268908E-3</c:v>
                </c:pt>
                <c:pt idx="1">
                  <c:v>2.2862858208991432E-3</c:v>
                </c:pt>
                <c:pt idx="2">
                  <c:v>2.2310694840939581E-3</c:v>
                </c:pt>
                <c:pt idx="3">
                  <c:v>2.2460503361068748E-3</c:v>
                </c:pt>
                <c:pt idx="4">
                  <c:v>2.221338192618493E-3</c:v>
                </c:pt>
                <c:pt idx="5">
                  <c:v>2.2926013555744362E-3</c:v>
                </c:pt>
                <c:pt idx="6">
                  <c:v>2.2257324476605491E-3</c:v>
                </c:pt>
                <c:pt idx="7">
                  <c:v>1.7264222045980169E-3</c:v>
                </c:pt>
                <c:pt idx="8">
                  <c:v>1.943233577185481E-3</c:v>
                </c:pt>
                <c:pt idx="9">
                  <c:v>1.1156117029116029E-3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37-4DC0-8435-17248CAE4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Ratios!$B$32:$B$41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Ratios!$I$32:$I$41</c:f>
              <c:numCache>
                <c:formatCode>General</c:formatCode>
                <c:ptCount val="10"/>
                <c:pt idx="0">
                  <c:v>4.83861461687433E-3</c:v>
                </c:pt>
                <c:pt idx="1">
                  <c:v>4.6301651949118639E-3</c:v>
                </c:pt>
                <c:pt idx="2">
                  <c:v>4.6732567736540468E-3</c:v>
                </c:pt>
                <c:pt idx="3">
                  <c:v>4.5642839483496338E-3</c:v>
                </c:pt>
                <c:pt idx="4">
                  <c:v>4.6072378328831246E-3</c:v>
                </c:pt>
                <c:pt idx="5">
                  <c:v>4.9121477483161161E-3</c:v>
                </c:pt>
                <c:pt idx="6">
                  <c:v>4.3337963873637799E-3</c:v>
                </c:pt>
                <c:pt idx="7">
                  <c:v>5.103938532281381E-3</c:v>
                </c:pt>
                <c:pt idx="8">
                  <c:v>4.10004643616E-3</c:v>
                </c:pt>
                <c:pt idx="9">
                  <c:v>6.7809904064360408E-3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D-4FF5-839C-9D1F7826A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Ratios!$B$32:$B$41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Ratios!$J$32:$J$41</c:f>
              <c:numCache>
                <c:formatCode>General</c:formatCode>
                <c:ptCount val="10"/>
                <c:pt idx="0">
                  <c:v>2.3564352792009779E-3</c:v>
                </c:pt>
                <c:pt idx="1">
                  <c:v>2.2779549642982723E-3</c:v>
                </c:pt>
                <c:pt idx="2">
                  <c:v>2.2683286364267863E-3</c:v>
                </c:pt>
                <c:pt idx="3">
                  <c:v>2.2319226419926612E-3</c:v>
                </c:pt>
                <c:pt idx="4">
                  <c:v>2.2158370844764545E-3</c:v>
                </c:pt>
                <c:pt idx="5">
                  <c:v>2.3449514763671151E-3</c:v>
                </c:pt>
                <c:pt idx="6">
                  <c:v>2.1975691256586054E-3</c:v>
                </c:pt>
                <c:pt idx="7">
                  <c:v>1.7256750607029081E-3</c:v>
                </c:pt>
                <c:pt idx="8">
                  <c:v>2.0453536972415967E-3</c:v>
                </c:pt>
                <c:pt idx="9">
                  <c:v>1.1001029588803132E-3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D-4FF5-839C-9D1F7826A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Ratios!$B$42:$B$51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Ratios!$I$42:$I$51</c:f>
              <c:numCache>
                <c:formatCode>General</c:formatCode>
                <c:ptCount val="10"/>
                <c:pt idx="0">
                  <c:v>1.1930648666388344E-2</c:v>
                </c:pt>
                <c:pt idx="1">
                  <c:v>8.6751552040548099E-3</c:v>
                </c:pt>
                <c:pt idx="2">
                  <c:v>7.9532208501565099E-3</c:v>
                </c:pt>
                <c:pt idx="3">
                  <c:v>4.6218214998966873E-3</c:v>
                </c:pt>
                <c:pt idx="4">
                  <c:v>4.6399831517939137E-3</c:v>
                </c:pt>
                <c:pt idx="5">
                  <c:v>4.8817548169636845E-3</c:v>
                </c:pt>
                <c:pt idx="6">
                  <c:v>5.5399166588845665E-3</c:v>
                </c:pt>
                <c:pt idx="7">
                  <c:v>5.9124046407855457E-3</c:v>
                </c:pt>
                <c:pt idx="8">
                  <c:v>6.4778714837660963E-3</c:v>
                </c:pt>
                <c:pt idx="9">
                  <c:v>8.1957176438631762E-3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A-4116-B15A-FCFDC8D1F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Ratios!$B$42:$B$51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Ratios!$J$42:$J$51</c:f>
              <c:numCache>
                <c:formatCode>General</c:formatCode>
                <c:ptCount val="10"/>
                <c:pt idx="0">
                  <c:v>2.7083009205147368E-3</c:v>
                </c:pt>
                <c:pt idx="1">
                  <c:v>2.2593431085161731E-3</c:v>
                </c:pt>
                <c:pt idx="2">
                  <c:v>3.3070122160782432E-3</c:v>
                </c:pt>
                <c:pt idx="3">
                  <c:v>2.297059100814848E-3</c:v>
                </c:pt>
                <c:pt idx="4">
                  <c:v>2.2188172198346818E-3</c:v>
                </c:pt>
                <c:pt idx="5">
                  <c:v>2.3844252422581956E-3</c:v>
                </c:pt>
                <c:pt idx="6">
                  <c:v>2.6695964880022525E-3</c:v>
                </c:pt>
                <c:pt idx="7">
                  <c:v>2.1267472631066498E-3</c:v>
                </c:pt>
                <c:pt idx="8">
                  <c:v>4.0443876837293752E-3</c:v>
                </c:pt>
                <c:pt idx="9">
                  <c:v>2.0587227460282056E-3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A-4116-B15A-FCFDC8D1F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Ratios!$B$52:$B$61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Ratios!$I$52:$I$61</c:f>
              <c:numCache>
                <c:formatCode>General</c:formatCode>
                <c:ptCount val="10"/>
                <c:pt idx="0">
                  <c:v>1.0074839344181774E-2</c:v>
                </c:pt>
                <c:pt idx="1">
                  <c:v>1.0208487974729067E-2</c:v>
                </c:pt>
                <c:pt idx="2">
                  <c:v>1.0148975987567947E-2</c:v>
                </c:pt>
                <c:pt idx="3">
                  <c:v>1.0078059955097769E-2</c:v>
                </c:pt>
                <c:pt idx="4">
                  <c:v>9.5215696840530994E-3</c:v>
                </c:pt>
                <c:pt idx="5">
                  <c:v>9.924286127553375E-3</c:v>
                </c:pt>
                <c:pt idx="6">
                  <c:v>8.5678838231318874E-3</c:v>
                </c:pt>
                <c:pt idx="7">
                  <c:v>1.0302088169123626E-2</c:v>
                </c:pt>
                <c:pt idx="8">
                  <c:v>9.6658463170734791E-3</c:v>
                </c:pt>
                <c:pt idx="9">
                  <c:v>1.1318535087010704E-2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8-48A0-AA7B-C94EBBA39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Ratios!$B$52:$B$61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Ratios!$J$52:$J$61</c:f>
              <c:numCache>
                <c:formatCode>General</c:formatCode>
                <c:ptCount val="10"/>
                <c:pt idx="0">
                  <c:v>3.8369084312984778E-3</c:v>
                </c:pt>
                <c:pt idx="1">
                  <c:v>3.8189254849028353E-3</c:v>
                </c:pt>
                <c:pt idx="2">
                  <c:v>4.3385796155414975E-3</c:v>
                </c:pt>
                <c:pt idx="3">
                  <c:v>4.3311195336175907E-3</c:v>
                </c:pt>
                <c:pt idx="4">
                  <c:v>4.044135063646594E-3</c:v>
                </c:pt>
                <c:pt idx="5">
                  <c:v>4.0965605469457777E-3</c:v>
                </c:pt>
                <c:pt idx="6">
                  <c:v>4.6658537419201479E-3</c:v>
                </c:pt>
                <c:pt idx="7">
                  <c:v>3.6000240467073609E-3</c:v>
                </c:pt>
                <c:pt idx="8">
                  <c:v>3.8063325603307388E-3</c:v>
                </c:pt>
                <c:pt idx="9">
                  <c:v>8.7845735060545025E-3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8-48A0-AA7B-C94EBBA39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Ratios!$B$62:$B$71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Ratios!$I$62:$I$71</c:f>
              <c:numCache>
                <c:formatCode>General</c:formatCode>
                <c:ptCount val="10"/>
                <c:pt idx="0">
                  <c:v>4.8518396547743798E-3</c:v>
                </c:pt>
                <c:pt idx="1">
                  <c:v>4.6011425242252031E-3</c:v>
                </c:pt>
                <c:pt idx="2">
                  <c:v>4.6403346508000027E-3</c:v>
                </c:pt>
                <c:pt idx="3">
                  <c:v>4.571636195149803E-3</c:v>
                </c:pt>
                <c:pt idx="4">
                  <c:v>4.5959870691777462E-3</c:v>
                </c:pt>
                <c:pt idx="5">
                  <c:v>4.7587688531707112E-3</c:v>
                </c:pt>
                <c:pt idx="6">
                  <c:v>4.3928334204999973E-3</c:v>
                </c:pt>
                <c:pt idx="7">
                  <c:v>5.1023909793466386E-3</c:v>
                </c:pt>
                <c:pt idx="8">
                  <c:v>4.0770351533155119E-3</c:v>
                </c:pt>
                <c:pt idx="9">
                  <c:v>6.8920355647108583E-3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6B-47FB-9B8B-8781404C7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Ratios!$B$62:$B$71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Ratios!$J$62:$J$71</c:f>
              <c:numCache>
                <c:formatCode>General</c:formatCode>
                <c:ptCount val="10"/>
                <c:pt idx="0">
                  <c:v>2.3807612185212843E-3</c:v>
                </c:pt>
                <c:pt idx="1">
                  <c:v>2.2644963936969496E-3</c:v>
                </c:pt>
                <c:pt idx="2">
                  <c:v>2.2626320687245466E-3</c:v>
                </c:pt>
                <c:pt idx="3">
                  <c:v>2.2455608947780288E-3</c:v>
                </c:pt>
                <c:pt idx="4">
                  <c:v>2.2130275066731646E-3</c:v>
                </c:pt>
                <c:pt idx="5">
                  <c:v>2.2746546230784088E-3</c:v>
                </c:pt>
                <c:pt idx="6">
                  <c:v>2.2272126815601322E-3</c:v>
                </c:pt>
                <c:pt idx="7">
                  <c:v>1.6694835745413022E-3</c:v>
                </c:pt>
                <c:pt idx="8">
                  <c:v>1.9246258848740737E-3</c:v>
                </c:pt>
                <c:pt idx="9">
                  <c:v>1.1135341258433464E-3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6B-47FB-9B8B-8781404C7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'task time stdev'!$B$1</c:f>
              <c:strCache>
                <c:ptCount val="1"/>
                <c:pt idx="0">
                  <c:v>FCFS</c:v>
                </c:pt>
              </c:strCache>
            </c:strRef>
          </c:tx>
          <c:spPr>
            <a:solidFill>
              <a:schemeClr val="accent3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stdev'!$B$2:$B$11</c:f>
              <c:numCache>
                <c:formatCode>General</c:formatCode>
                <c:ptCount val="10"/>
                <c:pt idx="0">
                  <c:v>0.24579694645965278</c:v>
                </c:pt>
                <c:pt idx="1">
                  <c:v>0.41064975614533827</c:v>
                </c:pt>
                <c:pt idx="2">
                  <c:v>0.55979510140367683</c:v>
                </c:pt>
                <c:pt idx="3">
                  <c:v>0.27101891077930884</c:v>
                </c:pt>
                <c:pt idx="4">
                  <c:v>0.48359811712711276</c:v>
                </c:pt>
                <c:pt idx="5">
                  <c:v>0.18143838868577628</c:v>
                </c:pt>
                <c:pt idx="6">
                  <c:v>0.50335256585771837</c:v>
                </c:pt>
                <c:pt idx="7">
                  <c:v>0.78444049416694739</c:v>
                </c:pt>
                <c:pt idx="8">
                  <c:v>0.67979792749185997</c:v>
                </c:pt>
                <c:pt idx="9">
                  <c:v>0.56298028878066242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69-4F13-B5FC-5A5B61254D8D}"/>
            </c:ext>
          </c:extLst>
        </c:ser>
        <c:ser>
          <c:idx val="1"/>
          <c:order val="1"/>
          <c:tx>
            <c:strRef>
              <c:f>'task time stdev'!$C$1</c:f>
              <c:strCache>
                <c:ptCount val="1"/>
                <c:pt idx="0">
                  <c:v>LCFS</c:v>
                </c:pt>
              </c:strCache>
            </c:strRef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stdev'!$C$2:$C$11</c:f>
              <c:numCache>
                <c:formatCode>General</c:formatCode>
                <c:ptCount val="10"/>
                <c:pt idx="0">
                  <c:v>0.24122494112803075</c:v>
                </c:pt>
                <c:pt idx="1">
                  <c:v>0.27837290137910858</c:v>
                </c:pt>
                <c:pt idx="2">
                  <c:v>0.29782755077393558</c:v>
                </c:pt>
                <c:pt idx="3">
                  <c:v>0.72102488784290975</c:v>
                </c:pt>
                <c:pt idx="4">
                  <c:v>0.51702205519257616</c:v>
                </c:pt>
                <c:pt idx="5">
                  <c:v>0.34844272604451543</c:v>
                </c:pt>
                <c:pt idx="6">
                  <c:v>0.79532413029042093</c:v>
                </c:pt>
                <c:pt idx="7">
                  <c:v>0.67922981301536822</c:v>
                </c:pt>
                <c:pt idx="8">
                  <c:v>1.7457909382282788</c:v>
                </c:pt>
                <c:pt idx="9">
                  <c:v>1.1689022865729828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69-4F13-B5FC-5A5B61254D8D}"/>
            </c:ext>
          </c:extLst>
        </c:ser>
        <c:ser>
          <c:idx val="2"/>
          <c:order val="2"/>
          <c:tx>
            <c:strRef>
              <c:f>'task time stdev'!$D$1</c:f>
              <c:strCache>
                <c:ptCount val="1"/>
                <c:pt idx="0">
                  <c:v>SJF</c:v>
                </c:pt>
              </c:strCache>
            </c:strRef>
          </c:tx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stdev'!$D$2:$D$11</c:f>
              <c:numCache>
                <c:formatCode>General</c:formatCode>
                <c:ptCount val="10"/>
                <c:pt idx="0">
                  <c:v>0.5779554240789031</c:v>
                </c:pt>
                <c:pt idx="1">
                  <c:v>0.58738055523371968</c:v>
                </c:pt>
                <c:pt idx="2">
                  <c:v>0.63382263993082477</c:v>
                </c:pt>
                <c:pt idx="3">
                  <c:v>0.46579302151157809</c:v>
                </c:pt>
                <c:pt idx="4">
                  <c:v>0.45454996058372027</c:v>
                </c:pt>
                <c:pt idx="5">
                  <c:v>0.62776048157097608</c:v>
                </c:pt>
                <c:pt idx="6">
                  <c:v>0.80072996211096104</c:v>
                </c:pt>
                <c:pt idx="7">
                  <c:v>1.1265160772142699</c:v>
                </c:pt>
                <c:pt idx="8">
                  <c:v>1.7423922252657931</c:v>
                </c:pt>
                <c:pt idx="9">
                  <c:v>1.2210006483754756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69-4F13-B5FC-5A5B61254D8D}"/>
            </c:ext>
          </c:extLst>
        </c:ser>
        <c:ser>
          <c:idx val="3"/>
          <c:order val="3"/>
          <c:tx>
            <c:strRef>
              <c:f>'task time stdev'!$E$1</c:f>
              <c:strCache>
                <c:ptCount val="1"/>
                <c:pt idx="0">
                  <c:v>LJF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stdev'!$E$2:$E$11</c:f>
              <c:numCache>
                <c:formatCode>General</c:formatCode>
                <c:ptCount val="10"/>
                <c:pt idx="0">
                  <c:v>0.30498560986089474</c:v>
                </c:pt>
                <c:pt idx="1">
                  <c:v>0.44250401755865648</c:v>
                </c:pt>
                <c:pt idx="2">
                  <c:v>0.17075290789779898</c:v>
                </c:pt>
                <c:pt idx="3">
                  <c:v>0.40735474575471758</c:v>
                </c:pt>
                <c:pt idx="4">
                  <c:v>0.52856464442236317</c:v>
                </c:pt>
                <c:pt idx="5">
                  <c:v>0.37119791067420199</c:v>
                </c:pt>
                <c:pt idx="6">
                  <c:v>0.19585680710378645</c:v>
                </c:pt>
                <c:pt idx="7">
                  <c:v>0.20557838461818337</c:v>
                </c:pt>
                <c:pt idx="8">
                  <c:v>0.27613945752101154</c:v>
                </c:pt>
                <c:pt idx="9">
                  <c:v>0.17419306020109229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69-4F13-B5FC-5A5B61254D8D}"/>
            </c:ext>
          </c:extLst>
        </c:ser>
        <c:ser>
          <c:idx val="4"/>
          <c:order val="4"/>
          <c:tx>
            <c:strRef>
              <c:f>'task time stdev'!$F$1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stdev'!$F$2:$F$11</c:f>
              <c:numCache>
                <c:formatCode>General</c:formatCode>
                <c:ptCount val="10"/>
                <c:pt idx="0">
                  <c:v>4.2147741734680553</c:v>
                </c:pt>
                <c:pt idx="1">
                  <c:v>1.6136612356171087</c:v>
                </c:pt>
                <c:pt idx="2">
                  <c:v>7.6950986492846383</c:v>
                </c:pt>
                <c:pt idx="3">
                  <c:v>6.5298092621454131</c:v>
                </c:pt>
                <c:pt idx="4">
                  <c:v>2.6980589730808755</c:v>
                </c:pt>
                <c:pt idx="5">
                  <c:v>3.4129602701402151</c:v>
                </c:pt>
                <c:pt idx="6">
                  <c:v>2.5121044077735952</c:v>
                </c:pt>
                <c:pt idx="7">
                  <c:v>4.6960586902446417</c:v>
                </c:pt>
                <c:pt idx="8">
                  <c:v>9.4934117462234511</c:v>
                </c:pt>
                <c:pt idx="9">
                  <c:v>9.3800325988535604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69-4F13-B5FC-5A5B61254D8D}"/>
            </c:ext>
          </c:extLst>
        </c:ser>
        <c:ser>
          <c:idx val="5"/>
          <c:order val="5"/>
          <c:tx>
            <c:strRef>
              <c:f>'task time stdev'!$G$1</c:f>
              <c:strCache>
                <c:ptCount val="1"/>
                <c:pt idx="0">
                  <c:v>LBW</c:v>
                </c:pt>
              </c:strCache>
            </c:strRef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stdev'!$G$2:$G$11</c:f>
              <c:numCache>
                <c:formatCode>General</c:formatCode>
                <c:ptCount val="10"/>
                <c:pt idx="0">
                  <c:v>3.1658561769817224</c:v>
                </c:pt>
                <c:pt idx="1">
                  <c:v>0.68686825519890982</c:v>
                </c:pt>
                <c:pt idx="2">
                  <c:v>1.8202189810264278</c:v>
                </c:pt>
                <c:pt idx="3">
                  <c:v>3.4495318845058094</c:v>
                </c:pt>
                <c:pt idx="4">
                  <c:v>2.2606893307130913</c:v>
                </c:pt>
                <c:pt idx="5">
                  <c:v>0.90908190866756777</c:v>
                </c:pt>
                <c:pt idx="6">
                  <c:v>1.6623761524463196</c:v>
                </c:pt>
                <c:pt idx="7">
                  <c:v>2.1268025100292394</c:v>
                </c:pt>
                <c:pt idx="8">
                  <c:v>0.77758938392958787</c:v>
                </c:pt>
                <c:pt idx="9">
                  <c:v>3.5562182824205606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69-4F13-B5FC-5A5B61254D8D}"/>
            </c:ext>
          </c:extLst>
        </c:ser>
        <c:ser>
          <c:idx val="6"/>
          <c:order val="6"/>
          <c:tx>
            <c:strRef>
              <c:f>'task time stdev'!$H$1</c:f>
              <c:strCache>
                <c:ptCount val="1"/>
                <c:pt idx="0">
                  <c:v>WS</c:v>
                </c:pt>
              </c:strCache>
            </c:strRef>
          </c:tx>
          <c:spPr>
            <a:solidFill>
              <a:schemeClr val="accent3">
                <a:tint val="48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stdev'!$H$2:$H$11</c:f>
              <c:numCache>
                <c:formatCode>General</c:formatCode>
                <c:ptCount val="10"/>
                <c:pt idx="0">
                  <c:v>0.47080454189256238</c:v>
                </c:pt>
                <c:pt idx="1">
                  <c:v>0.5248944073705577</c:v>
                </c:pt>
                <c:pt idx="2">
                  <c:v>0.5314926831314053</c:v>
                </c:pt>
                <c:pt idx="3">
                  <c:v>0.73347862197128222</c:v>
                </c:pt>
                <c:pt idx="4">
                  <c:v>0.32888887012011875</c:v>
                </c:pt>
                <c:pt idx="5">
                  <c:v>0.34225412910422648</c:v>
                </c:pt>
                <c:pt idx="6">
                  <c:v>0.27512870725454019</c:v>
                </c:pt>
                <c:pt idx="7">
                  <c:v>0.69446806182061782</c:v>
                </c:pt>
                <c:pt idx="8">
                  <c:v>1.007537881835386</c:v>
                </c:pt>
                <c:pt idx="9">
                  <c:v>0.72157391628763223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69-4F13-B5FC-5A5B61254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3295487"/>
        <c:axId val="663293567"/>
      </c:barChart>
      <c:catAx>
        <c:axId val="66329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293567"/>
        <c:crosses val="autoZero"/>
        <c:auto val="1"/>
        <c:lblAlgn val="ctr"/>
        <c:lblOffset val="100"/>
        <c:noMultiLvlLbl val="0"/>
      </c:catAx>
      <c:valAx>
        <c:axId val="66329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29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152400</xdr:colOff>
      <xdr:row>0</xdr:row>
      <xdr:rowOff>0</xdr:rowOff>
    </xdr:from>
    <xdr:to>
      <xdr:col>19</xdr:col>
      <xdr:colOff>514350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12EA5D-1B17-E59C-4605-FC39433650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38100</xdr:colOff>
      <xdr:row>8</xdr:row>
      <xdr:rowOff>133350</xdr:rowOff>
    </xdr:from>
    <xdr:to>
      <xdr:col>27</xdr:col>
      <xdr:colOff>400050</xdr:colOff>
      <xdr:row>23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80BDC3-0854-436E-9C37-A0B224EDA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171450</xdr:colOff>
      <xdr:row>18</xdr:row>
      <xdr:rowOff>104775</xdr:rowOff>
    </xdr:from>
    <xdr:to>
      <xdr:col>19</xdr:col>
      <xdr:colOff>533400</xdr:colOff>
      <xdr:row>32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42B5C2-03D1-415C-B420-C4BE7D2647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95250</xdr:colOff>
      <xdr:row>28</xdr:row>
      <xdr:rowOff>161925</xdr:rowOff>
    </xdr:from>
    <xdr:to>
      <xdr:col>27</xdr:col>
      <xdr:colOff>457200</xdr:colOff>
      <xdr:row>43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239837-962E-468A-9259-BF49A9C6E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142875</xdr:colOff>
      <xdr:row>39</xdr:row>
      <xdr:rowOff>19050</xdr:rowOff>
    </xdr:from>
    <xdr:to>
      <xdr:col>19</xdr:col>
      <xdr:colOff>504825</xdr:colOff>
      <xdr:row>53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37132F-C225-4A60-BD25-8D1960AA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209550</xdr:colOff>
      <xdr:row>49</xdr:row>
      <xdr:rowOff>47625</xdr:rowOff>
    </xdr:from>
    <xdr:to>
      <xdr:col>27</xdr:col>
      <xdr:colOff>571500</xdr:colOff>
      <xdr:row>63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0BB6D8A-7FED-4DB4-AB05-ADF0E0636F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161925</xdr:colOff>
      <xdr:row>58</xdr:row>
      <xdr:rowOff>28575</xdr:rowOff>
    </xdr:from>
    <xdr:to>
      <xdr:col>19</xdr:col>
      <xdr:colOff>523875</xdr:colOff>
      <xdr:row>72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747B0D-BD70-4284-AD5C-0A655F0951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60460</xdr:rowOff>
    </xdr:from>
    <xdr:to>
      <xdr:col>8</xdr:col>
      <xdr:colOff>295275</xdr:colOff>
      <xdr:row>31</xdr:row>
      <xdr:rowOff>98560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9F11C1-1FAB-0FEC-FB76-704B74934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A5CF6C4-589D-4ECC-9BDC-72F46A10BAE4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6443A40-C0FF-4837-AFC3-E7EE9326799D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D1DFB4-CE4A-4394-873E-A030F268DDCA}" name="wTask" displayName="wTask" ref="A1:J71" tableType="queryTable" totalsRowShown="0">
  <autoFilter ref="A1:J71" xr:uid="{2DD1DFB4-CE4A-4394-873E-A030F268DDCA}"/>
  <sortState xmlns:xlrd2="http://schemas.microsoft.com/office/spreadsheetml/2017/richdata2" ref="A2:J71">
    <sortCondition ref="A1:A71"/>
  </sortState>
  <tableColumns count="10">
    <tableColumn id="1" xr3:uid="{7358B912-890C-44ED-AB37-20FC38FA9EF4}" uniqueName="1" name="Heuristic" queryTableFieldId="1" dataDxfId="27"/>
    <tableColumn id="2" xr3:uid="{F70C4096-786D-4473-AB6A-B62F6885AAF1}" uniqueName="2" name="Variance" queryTableFieldId="2"/>
    <tableColumn id="3" xr3:uid="{DE0C3B8E-4882-4632-9B25-33BE505EC03A}" uniqueName="3" name="W1" queryTableFieldId="3" dataDxfId="26"/>
    <tableColumn id="4" xr3:uid="{5D90EAE0-8C49-43A5-A693-1C5CD95265AC}" uniqueName="4" name="W2" queryTableFieldId="4"/>
    <tableColumn id="5" xr3:uid="{A26414FD-B340-4034-A4D7-D5413E815685}" uniqueName="5" name="W3" queryTableFieldId="5"/>
    <tableColumn id="6" xr3:uid="{904C9A3E-F0A9-4FAE-B1C6-AC172C7EBA1A}" uniqueName="6" name="W4" queryTableFieldId="6"/>
    <tableColumn id="7" xr3:uid="{D33A4A07-0EFF-4383-87CF-FF97E29A2753}" uniqueName="7" name="W5" queryTableFieldId="7"/>
    <tableColumn id="8" xr3:uid="{4CFEC18F-0E5D-44F8-ADEA-BA485244F7E9}" uniqueName="8" name="W6" queryTableFieldId="8"/>
    <tableColumn id="9" xr3:uid="{C47577F8-E995-466C-BA74-D52220F1CCD8}" uniqueName="9" name="Average" queryTableFieldId="9" dataDxfId="25">
      <calculatedColumnFormula>AVERAGE(wTask[[#This Row],[W1]:[W6]])</calculatedColumnFormula>
    </tableColumn>
    <tableColumn id="10" xr3:uid="{92DA55B1-C330-4EF2-BEF4-770A59DD8794}" uniqueName="10" name="StDev" queryTableFieldId="10" dataDxfId="24">
      <calculatedColumnFormula>_xlfn.STDEV.P(wTask[[#This Row],[W1]:[W6]])</calculatedColumnFormula>
    </tableColumn>
  </tableColumns>
  <tableStyleInfo name="TableStyleLight1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A5511A-E202-4FA3-866F-A9FCFF364B7E}" name="wOver" displayName="wOver" ref="A1:J71" tableType="queryTable" totalsRowShown="0">
  <autoFilter ref="A1:J71" xr:uid="{B0A5511A-E202-4FA3-866F-A9FCFF364B7E}"/>
  <sortState xmlns:xlrd2="http://schemas.microsoft.com/office/spreadsheetml/2017/richdata2" ref="A2:J71">
    <sortCondition ref="A1:A71"/>
  </sortState>
  <tableColumns count="10">
    <tableColumn id="1" xr3:uid="{02771580-7EA0-4FE5-A3C9-05F9BE649DCE}" uniqueName="1" name="Heuristic" queryTableFieldId="1" dataDxfId="23"/>
    <tableColumn id="2" xr3:uid="{4642747E-2D88-40E8-9207-0161ADCC9E95}" uniqueName="2" name="Variance" queryTableFieldId="2"/>
    <tableColumn id="3" xr3:uid="{23D78E8D-C775-4A45-A422-6C003A303F52}" uniqueName="3" name="W1" queryTableFieldId="3" dataDxfId="22"/>
    <tableColumn id="4" xr3:uid="{8182BDBA-CE08-4D03-B736-DA77AE3E9FB9}" uniqueName="4" name="W2" queryTableFieldId="4"/>
    <tableColumn id="5" xr3:uid="{66BFC83C-483B-489A-9350-32916A7F18F2}" uniqueName="5" name="W3" queryTableFieldId="5"/>
    <tableColumn id="6" xr3:uid="{44A5F2AC-8491-4EA9-998A-59DF233D5583}" uniqueName="6" name="W4" queryTableFieldId="6"/>
    <tableColumn id="7" xr3:uid="{4C7F0BB9-7223-4328-B78C-DDAAB17E9B35}" uniqueName="7" name="W5" queryTableFieldId="7"/>
    <tableColumn id="8" xr3:uid="{78B26738-E2FB-4E3B-A7EC-6FDCD4CCB5CC}" uniqueName="8" name="W6" queryTableFieldId="8"/>
    <tableColumn id="9" xr3:uid="{396002D6-76FF-44BB-AEA1-E7AE4A471534}" uniqueName="9" name="Mean" queryTableFieldId="9" dataDxfId="21">
      <calculatedColumnFormula>AVERAGE(wOver[[#This Row],[W1]:[W6]])</calculatedColumnFormula>
    </tableColumn>
    <tableColumn id="10" xr3:uid="{C9F0561A-2A8B-47DA-84F0-F07C075F2902}" uniqueName="10" name="StDev" queryTableFieldId="10" dataDxfId="20">
      <calculatedColumnFormula>_xlfn.STDEV.P(wOver[[#This Row],[W1]:[W6]])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DEFD0F-17CF-49D1-8F4C-C03909C3F069}" name="Table3" displayName="Table3" ref="A1:L71" totalsRowShown="0" dataDxfId="19">
  <autoFilter ref="A1:L71" xr:uid="{45DEFD0F-17CF-49D1-8F4C-C03909C3F069}"/>
  <sortState xmlns:xlrd2="http://schemas.microsoft.com/office/spreadsheetml/2017/richdata2" ref="A2:J71">
    <sortCondition ref="A1:A71"/>
  </sortState>
  <tableColumns count="12">
    <tableColumn id="1" xr3:uid="{0957F79D-3090-44E9-AF10-F909130060F7}" name="Heuristic" dataDxfId="18">
      <calculatedColumnFormula>wTask[[#This Row],[Heuristic]]</calculatedColumnFormula>
    </tableColumn>
    <tableColumn id="2" xr3:uid="{C2129DB1-99C7-4F80-B12A-12B4EDA0D924}" name="Variance" dataDxfId="17">
      <calculatedColumnFormula>wTask[[#This Row],[Variance]]</calculatedColumnFormula>
    </tableColumn>
    <tableColumn id="3" xr3:uid="{903068F3-0C6E-4FFB-A1E8-6C67A53200FD}" name="W1" dataDxfId="16">
      <calculatedColumnFormula>wOver[[#This Row],[W1]]/wTask[[#This Row],[W1]]</calculatedColumnFormula>
    </tableColumn>
    <tableColumn id="4" xr3:uid="{B2E581F6-6EF0-45EB-BE73-4AC028B18D32}" name="W2" dataDxfId="15">
      <calculatedColumnFormula>wOver[[#This Row],[W2]]/wTask[[#This Row],[W2]]</calculatedColumnFormula>
    </tableColumn>
    <tableColumn id="5" xr3:uid="{49A2B35D-6E6E-41A9-B93C-774EE5454555}" name="W3" dataDxfId="14">
      <calculatedColumnFormula>wOver[[#This Row],[W3]]/wTask[[#This Row],[W3]]</calculatedColumnFormula>
    </tableColumn>
    <tableColumn id="6" xr3:uid="{1AC9A973-349D-403A-9660-BF5344811E61}" name="W4" dataDxfId="13">
      <calculatedColumnFormula>wOver[[#This Row],[W4]]/wTask[[#This Row],[W4]]</calculatedColumnFormula>
    </tableColumn>
    <tableColumn id="7" xr3:uid="{284D2C6F-26AB-4E60-8BF3-14F59D6BC7E8}" name="W5" dataDxfId="12">
      <calculatedColumnFormula>wOver[[#This Row],[W5]]/wTask[[#This Row],[W5]]</calculatedColumnFormula>
    </tableColumn>
    <tableColumn id="8" xr3:uid="{3B474BC6-0F58-47ED-8A7B-47B01C068F02}" name="W6" dataDxfId="11">
      <calculatedColumnFormula>wOver[[#This Row],[W6]]/wTask[[#This Row],[W6]]</calculatedColumnFormula>
    </tableColumn>
    <tableColumn id="9" xr3:uid="{9A98C901-F930-4AA5-A41E-83DDB5B27C02}" name="Average" dataDxfId="10">
      <calculatedColumnFormula>AVERAGE(Table3[[#This Row],[W1]:[W6]])</calculatedColumnFormula>
    </tableColumn>
    <tableColumn id="10" xr3:uid="{EEE3AD9A-DDB8-4538-ADB3-BD7055EDD039}" name="StDev" dataDxfId="9">
      <calculatedColumnFormula>_xlfn.STDEV.P(Table3[[#This Row],[W1]:[W6]])</calculatedColumnFormula>
    </tableColumn>
    <tableColumn id="11" xr3:uid="{9DC31B20-A6C5-4CD5-BCC4-DDA620B8BC82}" name="AvT" dataDxfId="8">
      <calculatedColumnFormula>wTask[[#This Row],[Average]]</calculatedColumnFormula>
    </tableColumn>
    <tableColumn id="12" xr3:uid="{647694E1-BFB7-4DCE-A3D7-280552CD67C7}" name="AvO" dataDxfId="7">
      <calculatedColumnFormula>wOver[[#This Row],[Mean]]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B3A658-3790-4E18-944C-16BEC4F8AAF2}" name="Table4" displayName="Table4" ref="A1:H11" totalsRowShown="0">
  <autoFilter ref="A1:H11" xr:uid="{51B3A658-3790-4E18-944C-16BEC4F8AAF2}"/>
  <tableColumns count="8">
    <tableColumn id="1" xr3:uid="{077013EE-F03C-4423-8F0D-8FBC89778B8B}" name="Heuristic"/>
    <tableColumn id="2" xr3:uid="{5A198941-BE55-4653-AD62-82FD876DED3E}" name="FCFS" dataDxfId="6">
      <calculatedColumnFormula array="1">IFERROR(INDEX(wTask[StDev], MATCH(1, (wTask[Heuristic]=Table4[[#Headers],[FCFS]]) * (wTask[Variance] = Table4[[#This Row],[Heuristic]]), 0)), "")</calculatedColumnFormula>
    </tableColumn>
    <tableColumn id="3" xr3:uid="{83C1124E-23AA-4FEE-9B79-7E3177344999}" name="LCFS" dataDxfId="5">
      <calculatedColumnFormula array="1">IFERROR(INDEX(wTask[StDev], MATCH(1, (wTask[Heuristic]=Table4[[#Headers],[LCFS]]) * (wTask[Variance] = Table4[[#This Row],[Heuristic]]), 0)), "")</calculatedColumnFormula>
    </tableColumn>
    <tableColumn id="4" xr3:uid="{88DF4CB7-FB46-4E4B-8FEC-3F6BCBEB7615}" name="SJF" dataDxfId="4">
      <calculatedColumnFormula array="1">IFERROR(INDEX(wTask[StDev], MATCH(1, (wTask[Heuristic]=Table4[[#Headers],[SJF]]) * (wTask[Variance] = Table4[[#This Row],[Heuristic]]), 0)), "")</calculatedColumnFormula>
    </tableColumn>
    <tableColumn id="12" xr3:uid="{82819D91-AA11-44ED-8646-9B42F8CB7DF1}" name="LJF" dataDxfId="3">
      <calculatedColumnFormula array="1">IFERROR(INDEX(wTask[StDev], MATCH(1, (wTask[Heuristic]=Table4[[#Headers],[LJF]]) * (wTask[Variance] = Table4[[#This Row],[Heuristic]]), 0)), "")</calculatedColumnFormula>
    </tableColumn>
    <tableColumn id="5" xr3:uid="{1DD603BB-3C52-4097-BF04-F84B2432CA87}" name="RR" dataDxfId="2">
      <calculatedColumnFormula array="1">IFERROR(INDEX(wTask[StDev], MATCH(1, (wTask[Heuristic]=Table4[[#Headers],[RR]]) * (wTask[Variance] = Table4[[#This Row],[Heuristic]]), 0)), "")</calculatedColumnFormula>
    </tableColumn>
    <tableColumn id="6" xr3:uid="{795907A7-04BD-4149-88B8-BE256D4FA25E}" name="LBW" dataDxfId="1">
      <calculatedColumnFormula array="1">IFERROR(INDEX(wTask[StDev], MATCH(1, (wTask[Heuristic]=Table4[[#Headers],[LBW]]) * (wTask[Variance] = Table4[[#This Row],[Heuristic]]), 0)), "")</calculatedColumnFormula>
    </tableColumn>
    <tableColumn id="7" xr3:uid="{1FFE8CF9-C1CB-47D0-A935-74445F1A02D6}" name="WS" dataDxfId="0">
      <calculatedColumnFormula array="1">IFERROR(INDEX(wTask[StDev], MATCH(1, (wTask[Heuristic]=Table4[[#Headers],[WS]]) * (wTask[Variance] = Table4[[#This Row],[Heuristic]]), 0)), "")</calculatedColumnFormula>
    </tableColumn>
  </tableColumns>
  <tableStyleInfo name="TableStyleLight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747474"/>
      </a:accent1>
      <a:accent2>
        <a:srgbClr val="AEAEAE"/>
      </a:accent2>
      <a:accent3>
        <a:srgbClr val="D76DCC"/>
      </a:accent3>
      <a:accent4>
        <a:srgbClr val="4EA72E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062E-6877-41C7-B9CF-730BB6A1BC4E}">
  <dimension ref="A1:J71"/>
  <sheetViews>
    <sheetView topLeftCell="A62" workbookViewId="0">
      <selection activeCell="M43" sqref="M43"/>
    </sheetView>
  </sheetViews>
  <sheetFormatPr baseColWidth="10" defaultColWidth="9.06640625" defaultRowHeight="14.25" x14ac:dyDescent="0.45"/>
  <cols>
    <col min="1" max="8" width="11.3984375" bestFit="1" customWidth="1"/>
  </cols>
  <sheetData>
    <row r="1" spans="1:10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17</v>
      </c>
      <c r="J1" t="s">
        <v>16</v>
      </c>
    </row>
    <row r="2" spans="1:10" x14ac:dyDescent="0.45">
      <c r="A2" t="s">
        <v>0</v>
      </c>
      <c r="B2">
        <v>0</v>
      </c>
      <c r="C2" s="1">
        <v>121.66</v>
      </c>
      <c r="D2">
        <v>121.16</v>
      </c>
      <c r="E2">
        <v>121.61</v>
      </c>
      <c r="F2">
        <v>121.226</v>
      </c>
      <c r="G2">
        <v>121.575</v>
      </c>
      <c r="H2">
        <v>121.032</v>
      </c>
      <c r="I2" s="1">
        <f>AVERAGE(wTask[[#This Row],[W1]:[W6]])</f>
        <v>121.37716666666667</v>
      </c>
      <c r="J2">
        <f>_xlfn.STDEV.P(wTask[[#This Row],[W1]:[W6]])</f>
        <v>0.24579694645965278</v>
      </c>
    </row>
    <row r="3" spans="1:10" x14ac:dyDescent="0.45">
      <c r="A3" t="s">
        <v>0</v>
      </c>
      <c r="B3">
        <v>0.01</v>
      </c>
      <c r="C3" s="1">
        <v>130.34800000000001</v>
      </c>
      <c r="D3">
        <v>130.613</v>
      </c>
      <c r="E3">
        <v>130.03800000000001</v>
      </c>
      <c r="F3">
        <v>129.922</v>
      </c>
      <c r="G3">
        <v>129.36799999999999</v>
      </c>
      <c r="H3">
        <v>129.67099999999999</v>
      </c>
      <c r="I3" s="1">
        <f>AVERAGE(wTask[[#This Row],[W1]:[W6]])</f>
        <v>129.99333333333334</v>
      </c>
      <c r="J3">
        <f>_xlfn.STDEV.P(wTask[[#This Row],[W1]:[W6]])</f>
        <v>0.41064975614533827</v>
      </c>
    </row>
    <row r="4" spans="1:10" x14ac:dyDescent="0.45">
      <c r="A4" t="s">
        <v>0</v>
      </c>
      <c r="B4">
        <v>1.7999999999999999E-2</v>
      </c>
      <c r="C4" s="1">
        <v>129.874</v>
      </c>
      <c r="D4">
        <v>128.88800000000001</v>
      </c>
      <c r="E4">
        <v>130.702</v>
      </c>
      <c r="F4">
        <v>129.465</v>
      </c>
      <c r="G4">
        <v>129.351</v>
      </c>
      <c r="H4">
        <v>129.80799999999999</v>
      </c>
      <c r="I4" s="1">
        <f>AVERAGE(wTask[[#This Row],[W1]:[W6]])</f>
        <v>129.68133333333333</v>
      </c>
      <c r="J4">
        <f>_xlfn.STDEV.P(wTask[[#This Row],[W1]:[W6]])</f>
        <v>0.55979510140367683</v>
      </c>
    </row>
    <row r="5" spans="1:10" x14ac:dyDescent="0.45">
      <c r="A5" t="s">
        <v>0</v>
      </c>
      <c r="B5">
        <v>3.1E-2</v>
      </c>
      <c r="C5" s="1">
        <v>132.71799999999999</v>
      </c>
      <c r="D5">
        <v>132.756</v>
      </c>
      <c r="E5">
        <v>133.49700000000001</v>
      </c>
      <c r="F5">
        <v>132.922</v>
      </c>
      <c r="G5">
        <v>133.14599999999999</v>
      </c>
      <c r="H5">
        <v>132.82599999999999</v>
      </c>
      <c r="I5" s="1">
        <f>AVERAGE(wTask[[#This Row],[W1]:[W6]])</f>
        <v>132.97749999999999</v>
      </c>
      <c r="J5">
        <f>_xlfn.STDEV.P(wTask[[#This Row],[W1]:[W6]])</f>
        <v>0.27101891077930884</v>
      </c>
    </row>
    <row r="6" spans="1:10" x14ac:dyDescent="0.45">
      <c r="A6" t="s">
        <v>0</v>
      </c>
      <c r="B6">
        <v>5.6000000000000001E-2</v>
      </c>
      <c r="C6" s="1">
        <v>132.40199999999999</v>
      </c>
      <c r="D6">
        <v>133.101</v>
      </c>
      <c r="E6">
        <v>133.21799999999999</v>
      </c>
      <c r="F6">
        <v>132.785</v>
      </c>
      <c r="G6">
        <v>132.15100000000001</v>
      </c>
      <c r="H6">
        <v>131.89599999999999</v>
      </c>
      <c r="I6" s="1">
        <f>AVERAGE(wTask[[#This Row],[W1]:[W6]])</f>
        <v>132.59216666666666</v>
      </c>
      <c r="J6">
        <f>_xlfn.STDEV.P(wTask[[#This Row],[W1]:[W6]])</f>
        <v>0.48359811712711276</v>
      </c>
    </row>
    <row r="7" spans="1:10" x14ac:dyDescent="0.45">
      <c r="A7" t="s">
        <v>0</v>
      </c>
      <c r="B7">
        <v>0.1</v>
      </c>
      <c r="C7" s="1">
        <v>133.136</v>
      </c>
      <c r="D7">
        <v>133.60300000000001</v>
      </c>
      <c r="E7">
        <v>133.62</v>
      </c>
      <c r="F7">
        <v>133.40799999999999</v>
      </c>
      <c r="G7">
        <v>133.58500000000001</v>
      </c>
      <c r="H7">
        <v>133.65600000000001</v>
      </c>
      <c r="I7" s="1">
        <f>AVERAGE(wTask[[#This Row],[W1]:[W6]])</f>
        <v>133.50133333333335</v>
      </c>
      <c r="J7">
        <f>_xlfn.STDEV.P(wTask[[#This Row],[W1]:[W6]])</f>
        <v>0.18143838868577628</v>
      </c>
    </row>
    <row r="8" spans="1:10" x14ac:dyDescent="0.45">
      <c r="A8" t="s">
        <v>0</v>
      </c>
      <c r="B8">
        <v>0.18</v>
      </c>
      <c r="C8" s="1">
        <v>134.381</v>
      </c>
      <c r="D8">
        <v>134.405</v>
      </c>
      <c r="E8">
        <v>134.66399999999999</v>
      </c>
      <c r="F8">
        <v>135.01</v>
      </c>
      <c r="G8">
        <v>133.982</v>
      </c>
      <c r="H8">
        <v>133.42500000000001</v>
      </c>
      <c r="I8" s="1">
        <f>AVERAGE(wTask[[#This Row],[W1]:[W6]])</f>
        <v>134.31116666666665</v>
      </c>
      <c r="J8">
        <f>_xlfn.STDEV.P(wTask[[#This Row],[W1]:[W6]])</f>
        <v>0.50335256585771837</v>
      </c>
    </row>
    <row r="9" spans="1:10" x14ac:dyDescent="0.45">
      <c r="A9" t="s">
        <v>0</v>
      </c>
      <c r="B9">
        <v>0.31</v>
      </c>
      <c r="C9" s="1">
        <v>138.91800000000001</v>
      </c>
      <c r="D9">
        <v>138.233</v>
      </c>
      <c r="E9">
        <v>138.15700000000001</v>
      </c>
      <c r="F9">
        <v>137.22300000000001</v>
      </c>
      <c r="G9">
        <v>136.61000000000001</v>
      </c>
      <c r="H9">
        <v>137.15100000000001</v>
      </c>
      <c r="I9" s="1">
        <f>AVERAGE(wTask[[#This Row],[W1]:[W6]])</f>
        <v>137.71533333333332</v>
      </c>
      <c r="J9">
        <f>_xlfn.STDEV.P(wTask[[#This Row],[W1]:[W6]])</f>
        <v>0.78444049416694739</v>
      </c>
    </row>
    <row r="10" spans="1:10" x14ac:dyDescent="0.45">
      <c r="A10" t="s">
        <v>0</v>
      </c>
      <c r="B10">
        <v>0.56000000000000005</v>
      </c>
      <c r="C10" s="1">
        <v>149.16499999999999</v>
      </c>
      <c r="D10">
        <v>148.59899999999999</v>
      </c>
      <c r="E10">
        <v>150.852</v>
      </c>
      <c r="F10">
        <v>149.518</v>
      </c>
      <c r="G10">
        <v>149.357</v>
      </c>
      <c r="H10">
        <v>149.50700000000001</v>
      </c>
      <c r="I10" s="1">
        <f>AVERAGE(wTask[[#This Row],[W1]:[W6]])</f>
        <v>149.49966666666668</v>
      </c>
      <c r="J10">
        <f>_xlfn.STDEV.P(wTask[[#This Row],[W1]:[W6]])</f>
        <v>0.67979792749185997</v>
      </c>
    </row>
    <row r="11" spans="1:10" x14ac:dyDescent="0.45">
      <c r="A11" t="s">
        <v>0</v>
      </c>
      <c r="B11">
        <v>1</v>
      </c>
      <c r="C11" s="1">
        <v>143.02799999999999</v>
      </c>
      <c r="D11">
        <v>143.13999999999999</v>
      </c>
      <c r="E11">
        <v>143.239</v>
      </c>
      <c r="F11">
        <v>143.13999999999999</v>
      </c>
      <c r="G11">
        <v>143.774</v>
      </c>
      <c r="H11">
        <v>144.63</v>
      </c>
      <c r="I11" s="1">
        <f>AVERAGE(wTask[[#This Row],[W1]:[W6]])</f>
        <v>143.49183333333335</v>
      </c>
      <c r="J11">
        <f>_xlfn.STDEV.P(wTask[[#This Row],[W1]:[W6]])</f>
        <v>0.56298028878066242</v>
      </c>
    </row>
    <row r="12" spans="1:10" x14ac:dyDescent="0.45">
      <c r="A12" s="3" t="s">
        <v>1</v>
      </c>
      <c r="B12" s="3">
        <v>0</v>
      </c>
      <c r="C12" s="4">
        <v>127.755</v>
      </c>
      <c r="D12" s="3">
        <v>127.271</v>
      </c>
      <c r="E12" s="3">
        <v>127.307</v>
      </c>
      <c r="F12" s="3">
        <v>127.258</v>
      </c>
      <c r="G12" s="3">
        <v>126.955</v>
      </c>
      <c r="H12" s="3">
        <v>127.151</v>
      </c>
      <c r="I12" s="4">
        <f>AVERAGE(wTask[[#This Row],[W1]:[W6]])</f>
        <v>127.28283333333333</v>
      </c>
      <c r="J12" s="3">
        <f>_xlfn.STDEV.P(wTask[[#This Row],[W1]:[W6]])</f>
        <v>0.24122494112803075</v>
      </c>
    </row>
    <row r="13" spans="1:10" x14ac:dyDescent="0.45">
      <c r="A13" t="s">
        <v>1</v>
      </c>
      <c r="B13">
        <v>0.01</v>
      </c>
      <c r="C13" s="1">
        <v>133.47900000000001</v>
      </c>
      <c r="D13">
        <v>134.197</v>
      </c>
      <c r="E13">
        <v>133.602</v>
      </c>
      <c r="F13">
        <v>133.577</v>
      </c>
      <c r="G13">
        <v>133.845</v>
      </c>
      <c r="H13">
        <v>133.34299999999999</v>
      </c>
      <c r="I13" s="1">
        <f>AVERAGE(wTask[[#This Row],[W1]:[W6]])</f>
        <v>133.67383333333333</v>
      </c>
      <c r="J13">
        <f>_xlfn.STDEV.P(wTask[[#This Row],[W1]:[W6]])</f>
        <v>0.27837290137910858</v>
      </c>
    </row>
    <row r="14" spans="1:10" x14ac:dyDescent="0.45">
      <c r="A14" t="s">
        <v>1</v>
      </c>
      <c r="B14">
        <v>1.7999999999999999E-2</v>
      </c>
      <c r="C14" s="1">
        <v>135.393</v>
      </c>
      <c r="D14">
        <v>134.62799999999999</v>
      </c>
      <c r="E14">
        <v>135.46899999999999</v>
      </c>
      <c r="F14">
        <v>134.887</v>
      </c>
      <c r="G14">
        <v>134.90700000000001</v>
      </c>
      <c r="H14">
        <v>135.18700000000001</v>
      </c>
      <c r="I14" s="1">
        <f>AVERAGE(wTask[[#This Row],[W1]:[W6]])</f>
        <v>135.07849999999999</v>
      </c>
      <c r="J14">
        <f>_xlfn.STDEV.P(wTask[[#This Row],[W1]:[W6]])</f>
        <v>0.29782755077393558</v>
      </c>
    </row>
    <row r="15" spans="1:10" x14ac:dyDescent="0.45">
      <c r="A15" t="s">
        <v>1</v>
      </c>
      <c r="B15">
        <v>3.1E-2</v>
      </c>
      <c r="C15" s="1">
        <v>134.87799999999999</v>
      </c>
      <c r="D15">
        <v>133.76</v>
      </c>
      <c r="E15">
        <v>134.32300000000001</v>
      </c>
      <c r="F15">
        <v>134.21799999999999</v>
      </c>
      <c r="G15">
        <v>133.221</v>
      </c>
      <c r="H15">
        <v>132.71</v>
      </c>
      <c r="I15" s="1">
        <f>AVERAGE(wTask[[#This Row],[W1]:[W6]])</f>
        <v>133.85166666666666</v>
      </c>
      <c r="J15">
        <f>_xlfn.STDEV.P(wTask[[#This Row],[W1]:[W6]])</f>
        <v>0.72102488784290975</v>
      </c>
    </row>
    <row r="16" spans="1:10" x14ac:dyDescent="0.45">
      <c r="A16" t="s">
        <v>1</v>
      </c>
      <c r="B16">
        <v>5.6000000000000001E-2</v>
      </c>
      <c r="C16" s="1">
        <v>133.88499999999999</v>
      </c>
      <c r="D16">
        <v>134.898</v>
      </c>
      <c r="E16">
        <v>134.75399999999999</v>
      </c>
      <c r="F16">
        <v>134.52699999999999</v>
      </c>
      <c r="G16">
        <v>134.501</v>
      </c>
      <c r="H16">
        <v>133.416</v>
      </c>
      <c r="I16" s="1">
        <f>AVERAGE(wTask[[#This Row],[W1]:[W6]])</f>
        <v>134.33016666666666</v>
      </c>
      <c r="J16">
        <f>_xlfn.STDEV.P(wTask[[#This Row],[W1]:[W6]])</f>
        <v>0.51702205519257616</v>
      </c>
    </row>
    <row r="17" spans="1:10" x14ac:dyDescent="0.45">
      <c r="A17" t="s">
        <v>1</v>
      </c>
      <c r="B17">
        <v>0.1</v>
      </c>
      <c r="C17" s="1">
        <v>134.16200000000001</v>
      </c>
      <c r="D17">
        <v>134.05000000000001</v>
      </c>
      <c r="E17">
        <v>133.74</v>
      </c>
      <c r="F17">
        <v>134.608</v>
      </c>
      <c r="G17">
        <v>133.489</v>
      </c>
      <c r="H17">
        <v>133.96299999999999</v>
      </c>
      <c r="I17" s="1">
        <f>AVERAGE(wTask[[#This Row],[W1]:[W6]])</f>
        <v>134.00199999999998</v>
      </c>
      <c r="J17">
        <f>_xlfn.STDEV.P(wTask[[#This Row],[W1]:[W6]])</f>
        <v>0.34844272604451543</v>
      </c>
    </row>
    <row r="18" spans="1:10" x14ac:dyDescent="0.45">
      <c r="A18" t="s">
        <v>1</v>
      </c>
      <c r="B18">
        <v>0.18</v>
      </c>
      <c r="C18" s="1">
        <v>135.43100000000001</v>
      </c>
      <c r="D18">
        <v>135.34800000000001</v>
      </c>
      <c r="E18">
        <v>137.69</v>
      </c>
      <c r="F18">
        <v>136.101</v>
      </c>
      <c r="G18">
        <v>136.45599999999999</v>
      </c>
      <c r="H18">
        <v>135.73699999999999</v>
      </c>
      <c r="I18" s="1">
        <f>AVERAGE(wTask[[#This Row],[W1]:[W6]])</f>
        <v>136.12716666666665</v>
      </c>
      <c r="J18">
        <f>_xlfn.STDEV.P(wTask[[#This Row],[W1]:[W6]])</f>
        <v>0.79532413029042093</v>
      </c>
    </row>
    <row r="19" spans="1:10" x14ac:dyDescent="0.45">
      <c r="A19" t="s">
        <v>1</v>
      </c>
      <c r="B19">
        <v>0.31</v>
      </c>
      <c r="C19" s="1">
        <v>137.22999999999999</v>
      </c>
      <c r="D19">
        <v>137.22200000000001</v>
      </c>
      <c r="E19">
        <v>136.58799999999999</v>
      </c>
      <c r="F19">
        <v>135.59899999999999</v>
      </c>
      <c r="G19">
        <v>135.66499999999999</v>
      </c>
      <c r="H19">
        <v>135.965</v>
      </c>
      <c r="I19" s="1">
        <f>AVERAGE(wTask[[#This Row],[W1]:[W6]])</f>
        <v>136.37816666666666</v>
      </c>
      <c r="J19">
        <f>_xlfn.STDEV.P(wTask[[#This Row],[W1]:[W6]])</f>
        <v>0.67922981301536822</v>
      </c>
    </row>
    <row r="20" spans="1:10" x14ac:dyDescent="0.45">
      <c r="A20" t="s">
        <v>1</v>
      </c>
      <c r="B20">
        <v>0.56000000000000005</v>
      </c>
      <c r="C20" s="1">
        <v>153.23099999999999</v>
      </c>
      <c r="D20">
        <v>148.85900000000001</v>
      </c>
      <c r="E20">
        <v>151.15799999999999</v>
      </c>
      <c r="F20">
        <v>148.84100000000001</v>
      </c>
      <c r="G20">
        <v>149.489</v>
      </c>
      <c r="H20">
        <v>148.09800000000001</v>
      </c>
      <c r="I20" s="1">
        <f>AVERAGE(wTask[[#This Row],[W1]:[W6]])</f>
        <v>149.94600000000003</v>
      </c>
      <c r="J20">
        <f>_xlfn.STDEV.P(wTask[[#This Row],[W1]:[W6]])</f>
        <v>1.7457909382282788</v>
      </c>
    </row>
    <row r="21" spans="1:10" x14ac:dyDescent="0.45">
      <c r="A21" t="s">
        <v>1</v>
      </c>
      <c r="B21">
        <v>1</v>
      </c>
      <c r="C21" s="1">
        <v>144.14400000000001</v>
      </c>
      <c r="D21">
        <v>143.67500000000001</v>
      </c>
      <c r="E21">
        <v>147.185</v>
      </c>
      <c r="F21">
        <v>145.001</v>
      </c>
      <c r="G21">
        <v>145.16</v>
      </c>
      <c r="H21">
        <v>143.98500000000001</v>
      </c>
      <c r="I21" s="1">
        <f>AVERAGE(wTask[[#This Row],[W1]:[W6]])</f>
        <v>144.85833333333332</v>
      </c>
      <c r="J21">
        <f>_xlfn.STDEV.P(wTask[[#This Row],[W1]:[W6]])</f>
        <v>1.1689022865729828</v>
      </c>
    </row>
    <row r="22" spans="1:10" x14ac:dyDescent="0.45">
      <c r="A22" s="3" t="s">
        <v>2</v>
      </c>
      <c r="B22" s="3">
        <v>0</v>
      </c>
      <c r="C22" s="4">
        <v>126.655</v>
      </c>
      <c r="D22" s="3">
        <v>128.12200000000001</v>
      </c>
      <c r="E22" s="3">
        <v>128.01</v>
      </c>
      <c r="F22" s="3">
        <v>126.818</v>
      </c>
      <c r="G22" s="3">
        <v>126.883</v>
      </c>
      <c r="H22" s="3">
        <v>127.349</v>
      </c>
      <c r="I22" s="4">
        <f>AVERAGE(wTask[[#This Row],[W1]:[W6]])</f>
        <v>127.30616666666668</v>
      </c>
      <c r="J22" s="3">
        <f>_xlfn.STDEV.P(wTask[[#This Row],[W1]:[W6]])</f>
        <v>0.5779554240789031</v>
      </c>
    </row>
    <row r="23" spans="1:10" x14ac:dyDescent="0.45">
      <c r="A23" t="s">
        <v>2</v>
      </c>
      <c r="B23">
        <v>0.01</v>
      </c>
      <c r="C23" s="1">
        <v>131.953</v>
      </c>
      <c r="D23">
        <v>131.28299999999999</v>
      </c>
      <c r="E23">
        <v>132.36500000000001</v>
      </c>
      <c r="F23">
        <v>132.33099999999999</v>
      </c>
      <c r="G23">
        <v>131.88300000000001</v>
      </c>
      <c r="H23">
        <v>130.71199999999999</v>
      </c>
      <c r="I23" s="1">
        <f>AVERAGE(wTask[[#This Row],[W1]:[W6]])</f>
        <v>131.75450000000001</v>
      </c>
      <c r="J23">
        <f>_xlfn.STDEV.P(wTask[[#This Row],[W1]:[W6]])</f>
        <v>0.58738055523371968</v>
      </c>
    </row>
    <row r="24" spans="1:10" x14ac:dyDescent="0.45">
      <c r="A24" t="s">
        <v>2</v>
      </c>
      <c r="B24">
        <v>1.7999999999999999E-2</v>
      </c>
      <c r="C24" s="1">
        <v>135.89699999999999</v>
      </c>
      <c r="D24">
        <v>134.35900000000001</v>
      </c>
      <c r="E24">
        <v>135.99799999999999</v>
      </c>
      <c r="F24">
        <v>134.75800000000001</v>
      </c>
      <c r="G24">
        <v>134.58500000000001</v>
      </c>
      <c r="H24">
        <v>134.90199999999999</v>
      </c>
      <c r="I24" s="1">
        <f>AVERAGE(wTask[[#This Row],[W1]:[W6]])</f>
        <v>135.08316666666667</v>
      </c>
      <c r="J24">
        <f>_xlfn.STDEV.P(wTask[[#This Row],[W1]:[W6]])</f>
        <v>0.63382263993082477</v>
      </c>
    </row>
    <row r="25" spans="1:10" x14ac:dyDescent="0.45">
      <c r="A25" t="s">
        <v>2</v>
      </c>
      <c r="B25">
        <v>3.1E-2</v>
      </c>
      <c r="C25" s="1">
        <v>134.155</v>
      </c>
      <c r="D25">
        <v>133.876</v>
      </c>
      <c r="E25">
        <v>134.12799999999999</v>
      </c>
      <c r="F25">
        <v>134.863</v>
      </c>
      <c r="G25">
        <v>133.548</v>
      </c>
      <c r="H25">
        <v>133.45500000000001</v>
      </c>
      <c r="I25" s="1">
        <f>AVERAGE(wTask[[#This Row],[W1]:[W6]])</f>
        <v>134.00416666666666</v>
      </c>
      <c r="J25">
        <f>_xlfn.STDEV.P(wTask[[#This Row],[W1]:[W6]])</f>
        <v>0.46579302151157809</v>
      </c>
    </row>
    <row r="26" spans="1:10" x14ac:dyDescent="0.45">
      <c r="A26" t="s">
        <v>2</v>
      </c>
      <c r="B26">
        <v>5.6000000000000001E-2</v>
      </c>
      <c r="C26" s="1">
        <v>133.84</v>
      </c>
      <c r="D26">
        <v>133.161</v>
      </c>
      <c r="E26">
        <v>134.40899999999999</v>
      </c>
      <c r="F26">
        <v>133.48400000000001</v>
      </c>
      <c r="G26">
        <v>134.035</v>
      </c>
      <c r="H26">
        <v>133.18100000000001</v>
      </c>
      <c r="I26" s="1">
        <f>AVERAGE(wTask[[#This Row],[W1]:[W6]])</f>
        <v>133.685</v>
      </c>
      <c r="J26">
        <f>_xlfn.STDEV.P(wTask[[#This Row],[W1]:[W6]])</f>
        <v>0.45454996058372027</v>
      </c>
    </row>
    <row r="27" spans="1:10" x14ac:dyDescent="0.45">
      <c r="A27" t="s">
        <v>2</v>
      </c>
      <c r="B27">
        <v>0.1</v>
      </c>
      <c r="C27" s="1">
        <v>136.75700000000001</v>
      </c>
      <c r="D27">
        <v>135.40899999999999</v>
      </c>
      <c r="E27">
        <v>135.86600000000001</v>
      </c>
      <c r="F27">
        <v>135.43</v>
      </c>
      <c r="G27">
        <v>135.1</v>
      </c>
      <c r="H27">
        <v>134.79400000000001</v>
      </c>
      <c r="I27" s="1">
        <f>AVERAGE(wTask[[#This Row],[W1]:[W6]])</f>
        <v>135.55933333333334</v>
      </c>
      <c r="J27">
        <f>_xlfn.STDEV.P(wTask[[#This Row],[W1]:[W6]])</f>
        <v>0.62776048157097608</v>
      </c>
    </row>
    <row r="28" spans="1:10" x14ac:dyDescent="0.45">
      <c r="A28" t="s">
        <v>2</v>
      </c>
      <c r="B28">
        <v>0.18</v>
      </c>
      <c r="C28" s="1">
        <v>137.024</v>
      </c>
      <c r="D28">
        <v>135.55500000000001</v>
      </c>
      <c r="E28">
        <v>136.04300000000001</v>
      </c>
      <c r="F28">
        <v>136.95599999999999</v>
      </c>
      <c r="G28">
        <v>134.81299999999999</v>
      </c>
      <c r="H28">
        <v>135.47200000000001</v>
      </c>
      <c r="I28" s="1">
        <f>AVERAGE(wTask[[#This Row],[W1]:[W6]])</f>
        <v>135.97716666666665</v>
      </c>
      <c r="J28">
        <f>_xlfn.STDEV.P(wTask[[#This Row],[W1]:[W6]])</f>
        <v>0.80072996211096104</v>
      </c>
    </row>
    <row r="29" spans="1:10" x14ac:dyDescent="0.45">
      <c r="A29" t="s">
        <v>2</v>
      </c>
      <c r="B29">
        <v>0.31</v>
      </c>
      <c r="C29" s="1">
        <v>140.006</v>
      </c>
      <c r="D29">
        <v>138.02199999999999</v>
      </c>
      <c r="E29">
        <v>140.233</v>
      </c>
      <c r="F29">
        <v>140.15</v>
      </c>
      <c r="G29">
        <v>138.01900000000001</v>
      </c>
      <c r="H29">
        <v>137.643</v>
      </c>
      <c r="I29" s="1">
        <f>AVERAGE(wTask[[#This Row],[W1]:[W6]])</f>
        <v>139.01216666666667</v>
      </c>
      <c r="J29">
        <f>_xlfn.STDEV.P(wTask[[#This Row],[W1]:[W6]])</f>
        <v>1.1265160772142699</v>
      </c>
    </row>
    <row r="30" spans="1:10" x14ac:dyDescent="0.45">
      <c r="A30" t="s">
        <v>2</v>
      </c>
      <c r="B30">
        <v>0.56000000000000005</v>
      </c>
      <c r="C30" s="1">
        <v>145.62899999999999</v>
      </c>
      <c r="D30">
        <v>145.49</v>
      </c>
      <c r="E30">
        <v>149.74</v>
      </c>
      <c r="F30">
        <v>149.72300000000001</v>
      </c>
      <c r="G30">
        <v>147.583</v>
      </c>
      <c r="H30">
        <v>146.655</v>
      </c>
      <c r="I30" s="1">
        <f>AVERAGE(wTask[[#This Row],[W1]:[W6]])</f>
        <v>147.47</v>
      </c>
      <c r="J30">
        <f>_xlfn.STDEV.P(wTask[[#This Row],[W1]:[W6]])</f>
        <v>1.7423922252657931</v>
      </c>
    </row>
    <row r="31" spans="1:10" x14ac:dyDescent="0.45">
      <c r="A31" t="s">
        <v>2</v>
      </c>
      <c r="B31">
        <v>1</v>
      </c>
      <c r="C31" s="1">
        <v>144.57300000000001</v>
      </c>
      <c r="D31">
        <v>147.22800000000001</v>
      </c>
      <c r="E31">
        <v>145.761</v>
      </c>
      <c r="F31">
        <v>146.119</v>
      </c>
      <c r="G31">
        <v>143.52500000000001</v>
      </c>
      <c r="H31">
        <v>144.483</v>
      </c>
      <c r="I31" s="1">
        <f>AVERAGE(wTask[[#This Row],[W1]:[W6]])</f>
        <v>145.28150000000002</v>
      </c>
      <c r="J31">
        <f>_xlfn.STDEV.P(wTask[[#This Row],[W1]:[W6]])</f>
        <v>1.2210006483754756</v>
      </c>
    </row>
    <row r="32" spans="1:10" x14ac:dyDescent="0.45">
      <c r="A32" s="3" t="s">
        <v>3</v>
      </c>
      <c r="B32" s="3">
        <v>0</v>
      </c>
      <c r="C32" s="4">
        <v>126.11</v>
      </c>
      <c r="D32" s="3">
        <v>126.828</v>
      </c>
      <c r="E32" s="3">
        <v>126.91200000000001</v>
      </c>
      <c r="F32" s="3">
        <v>126.605</v>
      </c>
      <c r="G32" s="3">
        <v>126.73399999999999</v>
      </c>
      <c r="H32" s="3">
        <v>127.07299999999999</v>
      </c>
      <c r="I32" s="4">
        <f>AVERAGE(wTask[[#This Row],[W1]:[W6]])</f>
        <v>126.71033333333334</v>
      </c>
      <c r="J32" s="3">
        <f>_xlfn.STDEV.P(wTask[[#This Row],[W1]:[W6]])</f>
        <v>0.30498560986089474</v>
      </c>
    </row>
    <row r="33" spans="1:10" x14ac:dyDescent="0.45">
      <c r="A33" t="s">
        <v>3</v>
      </c>
      <c r="B33">
        <v>0.01</v>
      </c>
      <c r="C33" s="1">
        <v>132.28100000000001</v>
      </c>
      <c r="D33">
        <v>132.887</v>
      </c>
      <c r="E33">
        <v>132.458</v>
      </c>
      <c r="F33">
        <v>132.261</v>
      </c>
      <c r="G33">
        <v>131.57400000000001</v>
      </c>
      <c r="H33">
        <v>131.71600000000001</v>
      </c>
      <c r="I33" s="1">
        <f>AVERAGE(wTask[[#This Row],[W1]:[W6]])</f>
        <v>132.19616666666667</v>
      </c>
      <c r="J33">
        <f>_xlfn.STDEV.P(wTask[[#This Row],[W1]:[W6]])</f>
        <v>0.44250401755865648</v>
      </c>
    </row>
    <row r="34" spans="1:10" x14ac:dyDescent="0.45">
      <c r="A34" t="s">
        <v>3</v>
      </c>
      <c r="B34">
        <v>1.7999999999999999E-2</v>
      </c>
      <c r="C34" s="1">
        <v>131.887</v>
      </c>
      <c r="D34">
        <v>131.899</v>
      </c>
      <c r="E34">
        <v>131.62700000000001</v>
      </c>
      <c r="F34">
        <v>132.16</v>
      </c>
      <c r="G34">
        <v>132.036</v>
      </c>
      <c r="H34">
        <v>131.78100000000001</v>
      </c>
      <c r="I34" s="1">
        <f>AVERAGE(wTask[[#This Row],[W1]:[W6]])</f>
        <v>131.89833333333331</v>
      </c>
      <c r="J34">
        <f>_xlfn.STDEV.P(wTask[[#This Row],[W1]:[W6]])</f>
        <v>0.17075290789779898</v>
      </c>
    </row>
    <row r="35" spans="1:10" x14ac:dyDescent="0.45">
      <c r="A35" t="s">
        <v>3</v>
      </c>
      <c r="B35">
        <v>3.1E-2</v>
      </c>
      <c r="C35" s="1">
        <v>135.17699999999999</v>
      </c>
      <c r="D35">
        <v>135.76400000000001</v>
      </c>
      <c r="E35">
        <v>134.51</v>
      </c>
      <c r="F35">
        <v>134.65700000000001</v>
      </c>
      <c r="G35">
        <v>135.05000000000001</v>
      </c>
      <c r="H35">
        <v>135.20599999999999</v>
      </c>
      <c r="I35" s="1">
        <f>AVERAGE(wTask[[#This Row],[W1]:[W6]])</f>
        <v>135.06066666666669</v>
      </c>
      <c r="J35">
        <f>_xlfn.STDEV.P(wTask[[#This Row],[W1]:[W6]])</f>
        <v>0.40735474575471758</v>
      </c>
    </row>
    <row r="36" spans="1:10" x14ac:dyDescent="0.45">
      <c r="A36" t="s">
        <v>3</v>
      </c>
      <c r="B36">
        <v>5.6000000000000001E-2</v>
      </c>
      <c r="C36" s="1">
        <v>134.74</v>
      </c>
      <c r="D36">
        <v>133.809</v>
      </c>
      <c r="E36">
        <v>134.96600000000001</v>
      </c>
      <c r="F36">
        <v>133.762</v>
      </c>
      <c r="G36">
        <v>133.52199999999999</v>
      </c>
      <c r="H36">
        <v>134.11600000000001</v>
      </c>
      <c r="I36" s="1">
        <f>AVERAGE(wTask[[#This Row],[W1]:[W6]])</f>
        <v>134.1525</v>
      </c>
      <c r="J36">
        <f>_xlfn.STDEV.P(wTask[[#This Row],[W1]:[W6]])</f>
        <v>0.52856464442236317</v>
      </c>
    </row>
    <row r="37" spans="1:10" x14ac:dyDescent="0.45">
      <c r="A37" t="s">
        <v>3</v>
      </c>
      <c r="B37">
        <v>0.1</v>
      </c>
      <c r="C37" s="1">
        <v>132.16</v>
      </c>
      <c r="D37">
        <v>132.155</v>
      </c>
      <c r="E37">
        <v>131.92699999999999</v>
      </c>
      <c r="F37">
        <v>132.25700000000001</v>
      </c>
      <c r="G37">
        <v>131.14599999999999</v>
      </c>
      <c r="H37">
        <v>131.88499999999999</v>
      </c>
      <c r="I37" s="1">
        <f>AVERAGE(wTask[[#This Row],[W1]:[W6]])</f>
        <v>131.92166666666665</v>
      </c>
      <c r="J37">
        <f>_xlfn.STDEV.P(wTask[[#This Row],[W1]:[W6]])</f>
        <v>0.37119791067420199</v>
      </c>
    </row>
    <row r="38" spans="1:10" x14ac:dyDescent="0.45">
      <c r="A38" t="s">
        <v>3</v>
      </c>
      <c r="B38">
        <v>0.18</v>
      </c>
      <c r="C38" s="1">
        <v>136.72499999999999</v>
      </c>
      <c r="D38">
        <v>136.749</v>
      </c>
      <c r="E38">
        <v>136.58199999999999</v>
      </c>
      <c r="F38">
        <v>136.86799999999999</v>
      </c>
      <c r="G38">
        <v>136.28899999999999</v>
      </c>
      <c r="H38">
        <v>136.44499999999999</v>
      </c>
      <c r="I38" s="1">
        <f>AVERAGE(wTask[[#This Row],[W1]:[W6]])</f>
        <v>136.60966666666664</v>
      </c>
      <c r="J38">
        <f>_xlfn.STDEV.P(wTask[[#This Row],[W1]:[W6]])</f>
        <v>0.19585680710378645</v>
      </c>
    </row>
    <row r="39" spans="1:10" x14ac:dyDescent="0.45">
      <c r="A39" t="s">
        <v>3</v>
      </c>
      <c r="B39">
        <v>0.31</v>
      </c>
      <c r="C39" s="1">
        <v>138.209</v>
      </c>
      <c r="D39">
        <v>138.32599999999999</v>
      </c>
      <c r="E39">
        <v>138.52500000000001</v>
      </c>
      <c r="F39">
        <v>138.12</v>
      </c>
      <c r="G39">
        <v>137.96600000000001</v>
      </c>
      <c r="H39">
        <v>137.929</v>
      </c>
      <c r="I39" s="1">
        <f>AVERAGE(wTask[[#This Row],[W1]:[W6]])</f>
        <v>138.17916666666665</v>
      </c>
      <c r="J39">
        <f>_xlfn.STDEV.P(wTask[[#This Row],[W1]:[W6]])</f>
        <v>0.20557838461818337</v>
      </c>
    </row>
    <row r="40" spans="1:10" x14ac:dyDescent="0.45">
      <c r="A40" t="s">
        <v>3</v>
      </c>
      <c r="B40">
        <v>0.56000000000000005</v>
      </c>
      <c r="C40" s="1">
        <v>148.38999999999999</v>
      </c>
      <c r="D40">
        <v>148.60599999999999</v>
      </c>
      <c r="E40">
        <v>148.62700000000001</v>
      </c>
      <c r="F40">
        <v>148.30000000000001</v>
      </c>
      <c r="G40">
        <v>148.066</v>
      </c>
      <c r="H40">
        <v>147.85900000000001</v>
      </c>
      <c r="I40" s="1">
        <f>AVERAGE(wTask[[#This Row],[W1]:[W6]])</f>
        <v>148.30800000000002</v>
      </c>
      <c r="J40">
        <f>_xlfn.STDEV.P(wTask[[#This Row],[W1]:[W6]])</f>
        <v>0.27613945752101154</v>
      </c>
    </row>
    <row r="41" spans="1:10" x14ac:dyDescent="0.45">
      <c r="A41" t="s">
        <v>3</v>
      </c>
      <c r="B41">
        <v>1</v>
      </c>
      <c r="C41" s="1">
        <v>144.16800000000001</v>
      </c>
      <c r="D41">
        <v>143.94399999999999</v>
      </c>
      <c r="E41">
        <v>143.64500000000001</v>
      </c>
      <c r="F41">
        <v>143.798</v>
      </c>
      <c r="G41">
        <v>144.06399999999999</v>
      </c>
      <c r="H41">
        <v>143.821</v>
      </c>
      <c r="I41" s="1">
        <f>AVERAGE(wTask[[#This Row],[W1]:[W6]])</f>
        <v>143.90666666666667</v>
      </c>
      <c r="J41">
        <f>_xlfn.STDEV.P(wTask[[#This Row],[W1]:[W6]])</f>
        <v>0.17419306020109229</v>
      </c>
    </row>
    <row r="42" spans="1:10" x14ac:dyDescent="0.45">
      <c r="A42" s="3" t="s">
        <v>4</v>
      </c>
      <c r="B42" s="3">
        <v>0</v>
      </c>
      <c r="C42" s="4">
        <v>124.65</v>
      </c>
      <c r="D42" s="3">
        <v>130.04900000000001</v>
      </c>
      <c r="E42" s="3">
        <v>130.435</v>
      </c>
      <c r="F42" s="3">
        <v>124.273</v>
      </c>
      <c r="G42" s="3">
        <v>125.812</v>
      </c>
      <c r="H42" s="3">
        <v>117.80500000000001</v>
      </c>
      <c r="I42" s="4">
        <f>AVERAGE(wTask[[#This Row],[W1]:[W6]])</f>
        <v>125.50400000000002</v>
      </c>
      <c r="J42" s="3">
        <f>_xlfn.STDEV.P(wTask[[#This Row],[W1]:[W6]])</f>
        <v>4.2147741734680553</v>
      </c>
    </row>
    <row r="43" spans="1:10" x14ac:dyDescent="0.45">
      <c r="A43" t="s">
        <v>4</v>
      </c>
      <c r="B43">
        <v>0.01</v>
      </c>
      <c r="C43" s="1">
        <v>128.78399999999999</v>
      </c>
      <c r="D43">
        <v>132.85499999999999</v>
      </c>
      <c r="E43">
        <v>130.93199999999999</v>
      </c>
      <c r="F43">
        <v>129.80199999999999</v>
      </c>
      <c r="G43">
        <v>132.464</v>
      </c>
      <c r="H43">
        <v>128.86199999999999</v>
      </c>
      <c r="I43" s="1">
        <f>AVERAGE(wTask[[#This Row],[W1]:[W6]])</f>
        <v>130.6165</v>
      </c>
      <c r="J43">
        <f>_xlfn.STDEV.P(wTask[[#This Row],[W1]:[W6]])</f>
        <v>1.6136612356171087</v>
      </c>
    </row>
    <row r="44" spans="1:10" x14ac:dyDescent="0.45">
      <c r="A44" t="s">
        <v>4</v>
      </c>
      <c r="B44">
        <v>1.7999999999999999E-2</v>
      </c>
      <c r="C44" s="1">
        <v>137.95699999999999</v>
      </c>
      <c r="D44">
        <v>138.52600000000001</v>
      </c>
      <c r="E44">
        <v>121.84</v>
      </c>
      <c r="F44">
        <v>121.934</v>
      </c>
      <c r="G44">
        <v>138.08600000000001</v>
      </c>
      <c r="H44">
        <v>138.25700000000001</v>
      </c>
      <c r="I44" s="1">
        <f>AVERAGE(wTask[[#This Row],[W1]:[W6]])</f>
        <v>132.76666666666665</v>
      </c>
      <c r="J44">
        <f>_xlfn.STDEV.P(wTask[[#This Row],[W1]:[W6]])</f>
        <v>7.6950986492846383</v>
      </c>
    </row>
    <row r="45" spans="1:10" x14ac:dyDescent="0.45">
      <c r="A45" t="s">
        <v>4</v>
      </c>
      <c r="B45">
        <v>3.1E-2</v>
      </c>
      <c r="C45" s="1">
        <v>134.917</v>
      </c>
      <c r="D45">
        <v>142.17699999999999</v>
      </c>
      <c r="E45">
        <v>140.05500000000001</v>
      </c>
      <c r="F45">
        <v>124.758</v>
      </c>
      <c r="G45">
        <v>127.005</v>
      </c>
      <c r="H45">
        <v>138.346</v>
      </c>
      <c r="I45" s="1">
        <f>AVERAGE(wTask[[#This Row],[W1]:[W6]])</f>
        <v>134.54300000000001</v>
      </c>
      <c r="J45">
        <f>_xlfn.STDEV.P(wTask[[#This Row],[W1]:[W6]])</f>
        <v>6.5298092621454131</v>
      </c>
    </row>
    <row r="46" spans="1:10" x14ac:dyDescent="0.45">
      <c r="A46" t="s">
        <v>4</v>
      </c>
      <c r="B46">
        <v>5.6000000000000001E-2</v>
      </c>
      <c r="C46" s="1">
        <v>134.209</v>
      </c>
      <c r="D46">
        <v>135.28200000000001</v>
      </c>
      <c r="E46">
        <v>134.23099999999999</v>
      </c>
      <c r="F46">
        <v>129.19800000000001</v>
      </c>
      <c r="G46">
        <v>130.13</v>
      </c>
      <c r="H46">
        <v>136.64400000000001</v>
      </c>
      <c r="I46" s="1">
        <f>AVERAGE(wTask[[#This Row],[W1]:[W6]])</f>
        <v>133.28233333333333</v>
      </c>
      <c r="J46">
        <f>_xlfn.STDEV.P(wTask[[#This Row],[W1]:[W6]])</f>
        <v>2.6980589730808755</v>
      </c>
    </row>
    <row r="47" spans="1:10" x14ac:dyDescent="0.45">
      <c r="A47" t="s">
        <v>4</v>
      </c>
      <c r="B47">
        <v>0.1</v>
      </c>
      <c r="C47" s="1">
        <v>137.21799999999999</v>
      </c>
      <c r="D47">
        <v>132.43899999999999</v>
      </c>
      <c r="E47">
        <v>136.952</v>
      </c>
      <c r="F47">
        <v>129.61799999999999</v>
      </c>
      <c r="G47">
        <v>136.19900000000001</v>
      </c>
      <c r="H47">
        <v>128.95099999999999</v>
      </c>
      <c r="I47" s="1">
        <f>AVERAGE(wTask[[#This Row],[W1]:[W6]])</f>
        <v>133.56283333333332</v>
      </c>
      <c r="J47">
        <f>_xlfn.STDEV.P(wTask[[#This Row],[W1]:[W6]])</f>
        <v>3.4129602701402151</v>
      </c>
    </row>
    <row r="48" spans="1:10" x14ac:dyDescent="0.45">
      <c r="A48" t="s">
        <v>4</v>
      </c>
      <c r="B48">
        <v>0.18</v>
      </c>
      <c r="C48" s="1">
        <v>134.352</v>
      </c>
      <c r="D48">
        <v>138.101</v>
      </c>
      <c r="E48">
        <v>133.71700000000001</v>
      </c>
      <c r="F48">
        <v>131.102</v>
      </c>
      <c r="G48">
        <v>136.15199999999999</v>
      </c>
      <c r="H48">
        <v>138.17599999999999</v>
      </c>
      <c r="I48" s="1">
        <f>AVERAGE(wTask[[#This Row],[W1]:[W6]])</f>
        <v>135.26666666666665</v>
      </c>
      <c r="J48">
        <f>_xlfn.STDEV.P(wTask[[#This Row],[W1]:[W6]])</f>
        <v>2.5121044077735952</v>
      </c>
    </row>
    <row r="49" spans="1:10" x14ac:dyDescent="0.45">
      <c r="A49" t="s">
        <v>4</v>
      </c>
      <c r="B49">
        <v>0.31</v>
      </c>
      <c r="C49" s="1">
        <v>131.43799999999999</v>
      </c>
      <c r="D49">
        <v>141.483</v>
      </c>
      <c r="E49">
        <v>132.61600000000001</v>
      </c>
      <c r="F49">
        <v>141.69900000000001</v>
      </c>
      <c r="G49">
        <v>135.81200000000001</v>
      </c>
      <c r="H49">
        <v>143.47999999999999</v>
      </c>
      <c r="I49" s="1">
        <f>AVERAGE(wTask[[#This Row],[W1]:[W6]])</f>
        <v>137.75466666666668</v>
      </c>
      <c r="J49">
        <f>_xlfn.STDEV.P(wTask[[#This Row],[W1]:[W6]])</f>
        <v>4.6960586902446417</v>
      </c>
    </row>
    <row r="50" spans="1:10" x14ac:dyDescent="0.45">
      <c r="A50" t="s">
        <v>4</v>
      </c>
      <c r="B50">
        <v>0.56000000000000005</v>
      </c>
      <c r="C50" s="1">
        <v>156.52799999999999</v>
      </c>
      <c r="D50">
        <v>152.762</v>
      </c>
      <c r="E50">
        <v>155.23400000000001</v>
      </c>
      <c r="F50">
        <v>146.99299999999999</v>
      </c>
      <c r="G50">
        <v>128.52199999999999</v>
      </c>
      <c r="H50">
        <v>144.11799999999999</v>
      </c>
      <c r="I50" s="1">
        <f>AVERAGE(wTask[[#This Row],[W1]:[W6]])</f>
        <v>147.3595</v>
      </c>
      <c r="J50">
        <f>_xlfn.STDEV.P(wTask[[#This Row],[W1]:[W6]])</f>
        <v>9.4934117462234511</v>
      </c>
    </row>
    <row r="51" spans="1:10" x14ac:dyDescent="0.45">
      <c r="A51" t="s">
        <v>4</v>
      </c>
      <c r="B51">
        <v>1</v>
      </c>
      <c r="C51" s="1">
        <v>126.80500000000001</v>
      </c>
      <c r="D51">
        <v>135.81800000000001</v>
      </c>
      <c r="E51">
        <v>147.524</v>
      </c>
      <c r="F51">
        <v>137.946</v>
      </c>
      <c r="G51">
        <v>152.62299999999999</v>
      </c>
      <c r="H51">
        <v>151.95400000000001</v>
      </c>
      <c r="I51" s="1">
        <f>AVERAGE(wTask[[#This Row],[W1]:[W6]])</f>
        <v>142.11166666666668</v>
      </c>
      <c r="J51">
        <f>_xlfn.STDEV.P(wTask[[#This Row],[W1]:[W6]])</f>
        <v>9.3800325988535604</v>
      </c>
    </row>
    <row r="52" spans="1:10" x14ac:dyDescent="0.45">
      <c r="A52" s="3" t="s">
        <v>5</v>
      </c>
      <c r="B52" s="3">
        <v>0</v>
      </c>
      <c r="C52" s="4">
        <v>128.41999999999999</v>
      </c>
      <c r="D52" s="3">
        <v>128.279</v>
      </c>
      <c r="E52" s="3">
        <v>128.54900000000001</v>
      </c>
      <c r="F52" s="3">
        <v>126.809</v>
      </c>
      <c r="G52" s="3">
        <v>121.93300000000001</v>
      </c>
      <c r="H52" s="3">
        <v>120.94199999999999</v>
      </c>
      <c r="I52" s="4">
        <f>AVERAGE(wTask[[#This Row],[W1]:[W6]])</f>
        <v>125.82199999999999</v>
      </c>
      <c r="J52" s="3">
        <f>_xlfn.STDEV.P(wTask[[#This Row],[W1]:[W6]])</f>
        <v>3.1658561769817224</v>
      </c>
    </row>
    <row r="53" spans="1:10" x14ac:dyDescent="0.45">
      <c r="A53" t="s">
        <v>5</v>
      </c>
      <c r="B53">
        <v>0.01</v>
      </c>
      <c r="C53" s="1">
        <v>133.90100000000001</v>
      </c>
      <c r="D53">
        <v>134.25899999999999</v>
      </c>
      <c r="E53">
        <v>134.65199999999999</v>
      </c>
      <c r="F53">
        <v>133.505</v>
      </c>
      <c r="G53">
        <v>132.62899999999999</v>
      </c>
      <c r="H53">
        <v>133.07400000000001</v>
      </c>
      <c r="I53" s="1">
        <f>AVERAGE(wTask[[#This Row],[W1]:[W6]])</f>
        <v>133.66999999999999</v>
      </c>
      <c r="J53">
        <f>_xlfn.STDEV.P(wTask[[#This Row],[W1]:[W6]])</f>
        <v>0.68686825519890982</v>
      </c>
    </row>
    <row r="54" spans="1:10" x14ac:dyDescent="0.45">
      <c r="A54" t="s">
        <v>5</v>
      </c>
      <c r="B54">
        <v>1.7999999999999999E-2</v>
      </c>
      <c r="C54" s="1">
        <v>135.04900000000001</v>
      </c>
      <c r="D54">
        <v>133.553</v>
      </c>
      <c r="E54">
        <v>133.66399999999999</v>
      </c>
      <c r="F54">
        <v>134.70500000000001</v>
      </c>
      <c r="G54">
        <v>130.02600000000001</v>
      </c>
      <c r="H54">
        <v>131.214</v>
      </c>
      <c r="I54" s="1">
        <f>AVERAGE(wTask[[#This Row],[W1]:[W6]])</f>
        <v>133.03516666666667</v>
      </c>
      <c r="J54">
        <f>_xlfn.STDEV.P(wTask[[#This Row],[W1]:[W6]])</f>
        <v>1.8202189810264278</v>
      </c>
    </row>
    <row r="55" spans="1:10" x14ac:dyDescent="0.45">
      <c r="A55" t="s">
        <v>5</v>
      </c>
      <c r="B55">
        <v>3.1E-2</v>
      </c>
      <c r="C55" s="1">
        <v>137.63800000000001</v>
      </c>
      <c r="D55">
        <v>137.04499999999999</v>
      </c>
      <c r="E55">
        <v>129.44800000000001</v>
      </c>
      <c r="F55">
        <v>135.93100000000001</v>
      </c>
      <c r="G55">
        <v>136.28399999999999</v>
      </c>
      <c r="H55">
        <v>129.548</v>
      </c>
      <c r="I55" s="1">
        <f>AVERAGE(wTask[[#This Row],[W1]:[W6]])</f>
        <v>134.31566666666666</v>
      </c>
      <c r="J55">
        <f>_xlfn.STDEV.P(wTask[[#This Row],[W1]:[W6]])</f>
        <v>3.4495318845058094</v>
      </c>
    </row>
    <row r="56" spans="1:10" x14ac:dyDescent="0.45">
      <c r="A56" t="s">
        <v>5</v>
      </c>
      <c r="B56">
        <v>5.6000000000000001E-2</v>
      </c>
      <c r="C56" s="1">
        <v>130.96299999999999</v>
      </c>
      <c r="D56">
        <v>134.376</v>
      </c>
      <c r="E56">
        <v>134.464</v>
      </c>
      <c r="F56">
        <v>135.471</v>
      </c>
      <c r="G56">
        <v>129.04300000000001</v>
      </c>
      <c r="H56">
        <v>133.84800000000001</v>
      </c>
      <c r="I56" s="1">
        <f>AVERAGE(wTask[[#This Row],[W1]:[W6]])</f>
        <v>133.0275</v>
      </c>
      <c r="J56">
        <f>_xlfn.STDEV.P(wTask[[#This Row],[W1]:[W6]])</f>
        <v>2.2606893307130913</v>
      </c>
    </row>
    <row r="57" spans="1:10" x14ac:dyDescent="0.45">
      <c r="A57" t="s">
        <v>5</v>
      </c>
      <c r="B57">
        <v>0.1</v>
      </c>
      <c r="C57" s="1">
        <v>136.91999999999999</v>
      </c>
      <c r="D57">
        <v>134.43199999999999</v>
      </c>
      <c r="E57">
        <v>134.654</v>
      </c>
      <c r="F57">
        <v>134.25399999999999</v>
      </c>
      <c r="G57">
        <v>135.52600000000001</v>
      </c>
      <c r="H57">
        <v>135.53700000000001</v>
      </c>
      <c r="I57" s="1">
        <f>AVERAGE(wTask[[#This Row],[W1]:[W6]])</f>
        <v>135.22050000000002</v>
      </c>
      <c r="J57">
        <f>_xlfn.STDEV.P(wTask[[#This Row],[W1]:[W6]])</f>
        <v>0.90908190866756777</v>
      </c>
    </row>
    <row r="58" spans="1:10" x14ac:dyDescent="0.45">
      <c r="A58" t="s">
        <v>5</v>
      </c>
      <c r="B58">
        <v>0.18</v>
      </c>
      <c r="C58" s="1">
        <v>132.15</v>
      </c>
      <c r="D58">
        <v>132.381</v>
      </c>
      <c r="E58">
        <v>135.428</v>
      </c>
      <c r="F58">
        <v>136.38900000000001</v>
      </c>
      <c r="G58">
        <v>135.94900000000001</v>
      </c>
      <c r="H58">
        <v>134.69800000000001</v>
      </c>
      <c r="I58" s="1">
        <f>AVERAGE(wTask[[#This Row],[W1]:[W6]])</f>
        <v>134.49916666666667</v>
      </c>
      <c r="J58">
        <f>_xlfn.STDEV.P(wTask[[#This Row],[W1]:[W6]])</f>
        <v>1.6623761524463196</v>
      </c>
    </row>
    <row r="59" spans="1:10" x14ac:dyDescent="0.45">
      <c r="A59" t="s">
        <v>5</v>
      </c>
      <c r="B59">
        <v>0.31</v>
      </c>
      <c r="C59" s="1">
        <v>134.321</v>
      </c>
      <c r="D59">
        <v>138.726</v>
      </c>
      <c r="E59">
        <v>136.649</v>
      </c>
      <c r="F59">
        <v>139.33199999999999</v>
      </c>
      <c r="G59">
        <v>133.44399999999999</v>
      </c>
      <c r="H59">
        <v>136.23699999999999</v>
      </c>
      <c r="I59" s="1">
        <f>AVERAGE(wTask[[#This Row],[W1]:[W6]])</f>
        <v>136.45149999999998</v>
      </c>
      <c r="J59">
        <f>_xlfn.STDEV.P(wTask[[#This Row],[W1]:[W6]])</f>
        <v>2.1268025100292394</v>
      </c>
    </row>
    <row r="60" spans="1:10" x14ac:dyDescent="0.45">
      <c r="A60" t="s">
        <v>5</v>
      </c>
      <c r="B60">
        <v>0.56000000000000005</v>
      </c>
      <c r="C60" s="1">
        <v>150.15</v>
      </c>
      <c r="D60">
        <v>149.94999999999999</v>
      </c>
      <c r="E60">
        <v>148.00800000000001</v>
      </c>
      <c r="F60">
        <v>149.96199999999999</v>
      </c>
      <c r="G60">
        <v>148.89599999999999</v>
      </c>
      <c r="H60">
        <v>149.947</v>
      </c>
      <c r="I60" s="1">
        <f>AVERAGE(wTask[[#This Row],[W1]:[W6]])</f>
        <v>149.4855</v>
      </c>
      <c r="J60">
        <f>_xlfn.STDEV.P(wTask[[#This Row],[W1]:[W6]])</f>
        <v>0.77758938392958787</v>
      </c>
    </row>
    <row r="61" spans="1:10" x14ac:dyDescent="0.45">
      <c r="A61" t="s">
        <v>5</v>
      </c>
      <c r="B61">
        <v>1</v>
      </c>
      <c r="C61" s="1">
        <v>145.76900000000001</v>
      </c>
      <c r="D61">
        <v>146.59100000000001</v>
      </c>
      <c r="E61">
        <v>146.364</v>
      </c>
      <c r="F61">
        <v>146.03700000000001</v>
      </c>
      <c r="G61">
        <v>138.00200000000001</v>
      </c>
      <c r="H61">
        <v>139.43199999999999</v>
      </c>
      <c r="I61" s="1">
        <f>AVERAGE(wTask[[#This Row],[W1]:[W6]])</f>
        <v>143.69916666666668</v>
      </c>
      <c r="J61">
        <f>_xlfn.STDEV.P(wTask[[#This Row],[W1]:[W6]])</f>
        <v>3.5562182824205606</v>
      </c>
    </row>
    <row r="62" spans="1:10" x14ac:dyDescent="0.45">
      <c r="A62" s="3" t="s">
        <v>6</v>
      </c>
      <c r="B62" s="3">
        <v>0</v>
      </c>
      <c r="C62" s="4">
        <v>126.684</v>
      </c>
      <c r="D62" s="3">
        <v>126.748</v>
      </c>
      <c r="E62" s="3">
        <v>127.161</v>
      </c>
      <c r="F62" s="3">
        <v>126.824</v>
      </c>
      <c r="G62" s="3">
        <v>126.34099999999999</v>
      </c>
      <c r="H62" s="3">
        <v>125.66500000000001</v>
      </c>
      <c r="I62" s="4">
        <f>AVERAGE(wTask[[#This Row],[W1]:[W6]])</f>
        <v>126.5705</v>
      </c>
      <c r="J62" s="3">
        <f>_xlfn.STDEV.P(wTask[[#This Row],[W1]:[W6]])</f>
        <v>0.47080454189256238</v>
      </c>
    </row>
    <row r="63" spans="1:10" x14ac:dyDescent="0.45">
      <c r="A63" t="s">
        <v>6</v>
      </c>
      <c r="B63">
        <v>0.01</v>
      </c>
      <c r="C63" s="1">
        <v>134.06</v>
      </c>
      <c r="D63">
        <v>133.072</v>
      </c>
      <c r="E63">
        <v>132.98599999999999</v>
      </c>
      <c r="F63">
        <v>132.69800000000001</v>
      </c>
      <c r="G63">
        <v>132.60499999999999</v>
      </c>
      <c r="H63">
        <v>132.47200000000001</v>
      </c>
      <c r="I63" s="1">
        <f>AVERAGE(wTask[[#This Row],[W1]:[W6]])</f>
        <v>132.98216666666667</v>
      </c>
      <c r="J63">
        <f>_xlfn.STDEV.P(wTask[[#This Row],[W1]:[W6]])</f>
        <v>0.5248944073705577</v>
      </c>
    </row>
    <row r="64" spans="1:10" x14ac:dyDescent="0.45">
      <c r="A64" t="s">
        <v>6</v>
      </c>
      <c r="B64">
        <v>1.7999999999999999E-2</v>
      </c>
      <c r="C64" s="1">
        <v>132.81</v>
      </c>
      <c r="D64">
        <v>132.62899999999999</v>
      </c>
      <c r="E64">
        <v>132.072</v>
      </c>
      <c r="F64">
        <v>133.82</v>
      </c>
      <c r="G64">
        <v>132.91900000000001</v>
      </c>
      <c r="H64">
        <v>133.185</v>
      </c>
      <c r="I64" s="1">
        <f>AVERAGE(wTask[[#This Row],[W1]:[W6]])</f>
        <v>132.90583333333333</v>
      </c>
      <c r="J64">
        <f>_xlfn.STDEV.P(wTask[[#This Row],[W1]:[W6]])</f>
        <v>0.5314926831314053</v>
      </c>
    </row>
    <row r="65" spans="1:10" x14ac:dyDescent="0.45">
      <c r="A65" t="s">
        <v>6</v>
      </c>
      <c r="B65">
        <v>3.1E-2</v>
      </c>
      <c r="C65" s="1">
        <v>135.01900000000001</v>
      </c>
      <c r="D65">
        <v>134.315</v>
      </c>
      <c r="E65">
        <v>136.05799999999999</v>
      </c>
      <c r="F65">
        <v>135.566</v>
      </c>
      <c r="G65">
        <v>135.095</v>
      </c>
      <c r="H65">
        <v>133.85499999999999</v>
      </c>
      <c r="I65" s="1">
        <f>AVERAGE(wTask[[#This Row],[W1]:[W6]])</f>
        <v>134.98466666666667</v>
      </c>
      <c r="J65">
        <f>_xlfn.STDEV.P(wTask[[#This Row],[W1]:[W6]])</f>
        <v>0.73347862197128222</v>
      </c>
    </row>
    <row r="66" spans="1:10" x14ac:dyDescent="0.45">
      <c r="A66" t="s">
        <v>6</v>
      </c>
      <c r="B66">
        <v>5.6000000000000001E-2</v>
      </c>
      <c r="C66" s="1">
        <v>134.60499999999999</v>
      </c>
      <c r="D66">
        <v>134.47</v>
      </c>
      <c r="E66">
        <v>133.81399999999999</v>
      </c>
      <c r="F66">
        <v>134.58600000000001</v>
      </c>
      <c r="G66">
        <v>134.04300000000001</v>
      </c>
      <c r="H66">
        <v>134.71799999999999</v>
      </c>
      <c r="I66" s="1">
        <f>AVERAGE(wTask[[#This Row],[W1]:[W6]])</f>
        <v>134.37266666666667</v>
      </c>
      <c r="J66">
        <f>_xlfn.STDEV.P(wTask[[#This Row],[W1]:[W6]])</f>
        <v>0.32888887012011875</v>
      </c>
    </row>
    <row r="67" spans="1:10" x14ac:dyDescent="0.45">
      <c r="A67" t="s">
        <v>6</v>
      </c>
      <c r="B67">
        <v>0.1</v>
      </c>
      <c r="C67" s="1">
        <v>136.03800000000001</v>
      </c>
      <c r="D67">
        <v>136.70500000000001</v>
      </c>
      <c r="E67">
        <v>136.46299999999999</v>
      </c>
      <c r="F67">
        <v>135.779</v>
      </c>
      <c r="G67">
        <v>135.99799999999999</v>
      </c>
      <c r="H67">
        <v>135.79499999999999</v>
      </c>
      <c r="I67" s="1">
        <f>AVERAGE(wTask[[#This Row],[W1]:[W6]])</f>
        <v>136.12966666666665</v>
      </c>
      <c r="J67">
        <f>_xlfn.STDEV.P(wTask[[#This Row],[W1]:[W6]])</f>
        <v>0.34225412910422648</v>
      </c>
    </row>
    <row r="68" spans="1:10" x14ac:dyDescent="0.45">
      <c r="A68" t="s">
        <v>6</v>
      </c>
      <c r="B68">
        <v>0.18</v>
      </c>
      <c r="C68" s="1">
        <v>135.136</v>
      </c>
      <c r="D68">
        <v>135.08199999999999</v>
      </c>
      <c r="E68">
        <v>134.73500000000001</v>
      </c>
      <c r="F68">
        <v>134.483</v>
      </c>
      <c r="G68">
        <v>134.41</v>
      </c>
      <c r="H68">
        <v>134.87700000000001</v>
      </c>
      <c r="I68" s="1">
        <f>AVERAGE(wTask[[#This Row],[W1]:[W6]])</f>
        <v>134.78716666666665</v>
      </c>
      <c r="J68">
        <f>_xlfn.STDEV.P(wTask[[#This Row],[W1]:[W6]])</f>
        <v>0.27512870725454019</v>
      </c>
    </row>
    <row r="69" spans="1:10" x14ac:dyDescent="0.45">
      <c r="A69" t="s">
        <v>6</v>
      </c>
      <c r="B69">
        <v>0.31</v>
      </c>
      <c r="C69" s="1">
        <v>139.09700000000001</v>
      </c>
      <c r="D69">
        <v>141.02500000000001</v>
      </c>
      <c r="E69">
        <v>139.78299999999999</v>
      </c>
      <c r="F69">
        <v>138.94900000000001</v>
      </c>
      <c r="G69">
        <v>139.38900000000001</v>
      </c>
      <c r="H69">
        <v>139.26900000000001</v>
      </c>
      <c r="I69" s="1">
        <f>AVERAGE(wTask[[#This Row],[W1]:[W6]])</f>
        <v>139.58533333333335</v>
      </c>
      <c r="J69">
        <f>_xlfn.STDEV.P(wTask[[#This Row],[W1]:[W6]])</f>
        <v>0.69446806182061782</v>
      </c>
    </row>
    <row r="70" spans="1:10" x14ac:dyDescent="0.45">
      <c r="A70" t="s">
        <v>6</v>
      </c>
      <c r="B70">
        <v>0.56000000000000005</v>
      </c>
      <c r="C70" s="1">
        <v>151.315</v>
      </c>
      <c r="D70">
        <v>151.929</v>
      </c>
      <c r="E70">
        <v>149.286</v>
      </c>
      <c r="F70">
        <v>149.88900000000001</v>
      </c>
      <c r="G70">
        <v>150.827</v>
      </c>
      <c r="H70">
        <v>149.28899999999999</v>
      </c>
      <c r="I70" s="1">
        <f>AVERAGE(wTask[[#This Row],[W1]:[W6]])</f>
        <v>150.42250000000001</v>
      </c>
      <c r="J70">
        <f>_xlfn.STDEV.P(wTask[[#This Row],[W1]:[W6]])</f>
        <v>1.007537881835386</v>
      </c>
    </row>
    <row r="71" spans="1:10" x14ac:dyDescent="0.45">
      <c r="A71" t="s">
        <v>6</v>
      </c>
      <c r="B71">
        <v>1</v>
      </c>
      <c r="C71" s="1">
        <v>143.31399999999999</v>
      </c>
      <c r="D71">
        <v>142.99799999999999</v>
      </c>
      <c r="E71">
        <v>143.244</v>
      </c>
      <c r="F71">
        <v>141.953</v>
      </c>
      <c r="G71">
        <v>142.75899999999999</v>
      </c>
      <c r="H71">
        <v>144.37100000000001</v>
      </c>
      <c r="I71" s="1">
        <f>AVERAGE(wTask[[#This Row],[W1]:[W6]])</f>
        <v>143.10650000000001</v>
      </c>
      <c r="J71">
        <f>_xlfn.STDEV.P(wTask[[#This Row],[W1]:[W6]])</f>
        <v>0.72157391628763223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B52E0-E3DC-4A25-A1C2-390DAB3ECDC5}">
  <dimension ref="A1:J71"/>
  <sheetViews>
    <sheetView workbookViewId="0">
      <selection activeCell="M19" sqref="M19"/>
    </sheetView>
  </sheetViews>
  <sheetFormatPr baseColWidth="10" defaultColWidth="9.06640625" defaultRowHeight="14.25" x14ac:dyDescent="0.45"/>
  <cols>
    <col min="1" max="8" width="11.3984375" bestFit="1" customWidth="1"/>
  </cols>
  <sheetData>
    <row r="1" spans="1:10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</row>
    <row r="2" spans="1:10" x14ac:dyDescent="0.45">
      <c r="A2" t="s">
        <v>0</v>
      </c>
      <c r="B2">
        <v>0</v>
      </c>
      <c r="C2" s="1">
        <v>0.17552799999999999</v>
      </c>
      <c r="D2">
        <v>1.05078</v>
      </c>
      <c r="E2">
        <v>0.35058099999999998</v>
      </c>
      <c r="F2">
        <v>0.52575400000000005</v>
      </c>
      <c r="G2">
        <v>0.70075600000000005</v>
      </c>
      <c r="H2">
        <v>0.87576600000000004</v>
      </c>
      <c r="I2" s="1">
        <f>AVERAGE(wOver[[#This Row],[W1]:[W6]])</f>
        <v>0.61319416666666671</v>
      </c>
      <c r="J2">
        <f>_xlfn.STDEV.P(wOver[[#This Row],[W1]:[W6]])</f>
        <v>0.29895806153729798</v>
      </c>
    </row>
    <row r="3" spans="1:10" x14ac:dyDescent="0.45">
      <c r="A3" t="s">
        <v>0</v>
      </c>
      <c r="B3">
        <v>0.01</v>
      </c>
      <c r="C3" s="1">
        <v>0.34747899999999998</v>
      </c>
      <c r="D3">
        <v>0.52456100000000006</v>
      </c>
      <c r="E3">
        <v>0.17230000000000001</v>
      </c>
      <c r="F3">
        <v>0.69958100000000001</v>
      </c>
      <c r="G3">
        <v>1.04756</v>
      </c>
      <c r="H3">
        <v>0.87450700000000003</v>
      </c>
      <c r="I3" s="1">
        <f>AVERAGE(wOver[[#This Row],[W1]:[W6]])</f>
        <v>0.61099800000000004</v>
      </c>
      <c r="J3">
        <f>_xlfn.STDEV.P(wOver[[#This Row],[W1]:[W6]])</f>
        <v>0.29923231619930363</v>
      </c>
    </row>
    <row r="4" spans="1:10" x14ac:dyDescent="0.45">
      <c r="A4" t="s">
        <v>0</v>
      </c>
      <c r="B4">
        <v>1.7999999999999999E-2</v>
      </c>
      <c r="C4" s="1">
        <v>0.18240300000000001</v>
      </c>
      <c r="D4">
        <v>0.87754100000000002</v>
      </c>
      <c r="E4">
        <v>0.34934599999999999</v>
      </c>
      <c r="F4">
        <v>0.526447</v>
      </c>
      <c r="G4">
        <v>1.05559</v>
      </c>
      <c r="H4">
        <v>0.704623</v>
      </c>
      <c r="I4" s="1">
        <f>AVERAGE(wOver[[#This Row],[W1]:[W6]])</f>
        <v>0.6159916666666666</v>
      </c>
      <c r="J4">
        <f>_xlfn.STDEV.P(wOver[[#This Row],[W1]:[W6]])</f>
        <v>0.29906174179348904</v>
      </c>
    </row>
    <row r="5" spans="1:10" x14ac:dyDescent="0.45">
      <c r="A5" t="s">
        <v>0</v>
      </c>
      <c r="B5">
        <v>3.1E-2</v>
      </c>
      <c r="C5" s="1">
        <v>0.35350700000000002</v>
      </c>
      <c r="D5">
        <v>0.52561500000000005</v>
      </c>
      <c r="E5">
        <v>0.174375</v>
      </c>
      <c r="F5">
        <v>0.70860400000000001</v>
      </c>
      <c r="G5">
        <v>1.0506</v>
      </c>
      <c r="H5">
        <v>0.87953899999999996</v>
      </c>
      <c r="I5" s="1">
        <f>AVERAGE(wOver[[#This Row],[W1]:[W6]])</f>
        <v>0.61537333333333333</v>
      </c>
      <c r="J5">
        <f>_xlfn.STDEV.P(wOver[[#This Row],[W1]:[W6]])</f>
        <v>0.29972425465454439</v>
      </c>
    </row>
    <row r="6" spans="1:10" x14ac:dyDescent="0.45">
      <c r="A6" t="s">
        <v>0</v>
      </c>
      <c r="B6">
        <v>5.6000000000000001E-2</v>
      </c>
      <c r="C6" s="1">
        <v>0.17751400000000001</v>
      </c>
      <c r="D6">
        <v>0.36264400000000002</v>
      </c>
      <c r="E6">
        <v>0.53778300000000001</v>
      </c>
      <c r="F6">
        <v>0.69985299999999995</v>
      </c>
      <c r="G6">
        <v>0.87194499999999997</v>
      </c>
      <c r="H6">
        <v>1.0540099999999999</v>
      </c>
      <c r="I6" s="1">
        <f>AVERAGE(wOver[[#This Row],[W1]:[W6]])</f>
        <v>0.61729149999999999</v>
      </c>
      <c r="J6">
        <f>_xlfn.STDEV.P(wOver[[#This Row],[W1]:[W6]])</f>
        <v>0.29635537645465998</v>
      </c>
    </row>
    <row r="7" spans="1:10" x14ac:dyDescent="0.45">
      <c r="A7" t="s">
        <v>0</v>
      </c>
      <c r="B7">
        <v>0.1</v>
      </c>
      <c r="C7" s="1">
        <v>0.19355600000000001</v>
      </c>
      <c r="D7">
        <v>0.36964599999999997</v>
      </c>
      <c r="E7">
        <v>0.754911</v>
      </c>
      <c r="F7">
        <v>0.56077399999999999</v>
      </c>
      <c r="G7">
        <v>1.0920000000000001</v>
      </c>
      <c r="H7">
        <v>0.91397600000000001</v>
      </c>
      <c r="I7" s="1">
        <f>AVERAGE(wOver[[#This Row],[W1]:[W6]])</f>
        <v>0.64747716666666666</v>
      </c>
      <c r="J7">
        <f>_xlfn.STDEV.P(wOver[[#This Row],[W1]:[W6]])</f>
        <v>0.30846832033366461</v>
      </c>
    </row>
    <row r="8" spans="1:10" x14ac:dyDescent="0.45">
      <c r="A8" t="s">
        <v>0</v>
      </c>
      <c r="B8">
        <v>0.18</v>
      </c>
      <c r="C8" s="1">
        <v>0.15539700000000001</v>
      </c>
      <c r="D8">
        <v>0.69877100000000003</v>
      </c>
      <c r="E8">
        <v>0.32359500000000002</v>
      </c>
      <c r="F8">
        <v>0.49673400000000001</v>
      </c>
      <c r="G8">
        <v>0.84484999999999999</v>
      </c>
      <c r="H8">
        <v>1.03085</v>
      </c>
      <c r="I8" s="1">
        <f>AVERAGE(wOver[[#This Row],[W1]:[W6]])</f>
        <v>0.59169950000000004</v>
      </c>
      <c r="J8">
        <f>_xlfn.STDEV.P(wOver[[#This Row],[W1]:[W6]])</f>
        <v>0.29990581411211409</v>
      </c>
    </row>
    <row r="9" spans="1:10" x14ac:dyDescent="0.45">
      <c r="A9" t="s">
        <v>0</v>
      </c>
      <c r="B9">
        <v>0.31</v>
      </c>
      <c r="C9" s="1">
        <v>0.607595</v>
      </c>
      <c r="D9">
        <v>0.40654699999999999</v>
      </c>
      <c r="E9">
        <v>0.53491999999999995</v>
      </c>
      <c r="F9">
        <v>0.77464900000000003</v>
      </c>
      <c r="G9">
        <v>1.1115999999999999</v>
      </c>
      <c r="H9">
        <v>0.84452199999999999</v>
      </c>
      <c r="I9" s="1">
        <f>AVERAGE(wOver[[#This Row],[W1]:[W6]])</f>
        <v>0.71330550000000004</v>
      </c>
      <c r="J9">
        <f>_xlfn.STDEV.P(wOver[[#This Row],[W1]:[W6]])</f>
        <v>0.22975210457414752</v>
      </c>
    </row>
    <row r="10" spans="1:10" x14ac:dyDescent="0.45">
      <c r="A10" t="s">
        <v>0</v>
      </c>
      <c r="B10">
        <v>0.56000000000000005</v>
      </c>
      <c r="C10" s="1">
        <v>0.65131399999999995</v>
      </c>
      <c r="D10">
        <v>0.87457300000000004</v>
      </c>
      <c r="E10">
        <v>0.21937000000000001</v>
      </c>
      <c r="F10">
        <v>0.30448500000000001</v>
      </c>
      <c r="G10">
        <v>0.53060600000000002</v>
      </c>
      <c r="H10">
        <v>1.01057</v>
      </c>
      <c r="I10" s="1">
        <f>AVERAGE(wOver[[#This Row],[W1]:[W6]])</f>
        <v>0.59848633333333334</v>
      </c>
      <c r="J10">
        <f>_xlfn.STDEV.P(wOver[[#This Row],[W1]:[W6]])</f>
        <v>0.28390176589368987</v>
      </c>
    </row>
    <row r="11" spans="1:10" x14ac:dyDescent="0.45">
      <c r="A11" t="s">
        <v>0</v>
      </c>
      <c r="B11">
        <v>1</v>
      </c>
      <c r="C11" s="1">
        <v>0.78112199999999998</v>
      </c>
      <c r="D11">
        <v>1.01789</v>
      </c>
      <c r="E11">
        <v>1.0192300000000001</v>
      </c>
      <c r="F11">
        <v>1.1907799999999999</v>
      </c>
      <c r="G11">
        <v>1.13317</v>
      </c>
      <c r="H11">
        <v>0.85396700000000003</v>
      </c>
      <c r="I11" s="1">
        <f>AVERAGE(wOver[[#This Row],[W1]:[W6]])</f>
        <v>0.99935983333333323</v>
      </c>
      <c r="J11">
        <f>_xlfn.STDEV.P(wOver[[#This Row],[W1]:[W6]])</f>
        <v>0.1437891160651798</v>
      </c>
    </row>
    <row r="12" spans="1:10" x14ac:dyDescent="0.45">
      <c r="A12" s="3" t="s">
        <v>1</v>
      </c>
      <c r="B12" s="3">
        <v>0</v>
      </c>
      <c r="C12" s="4">
        <v>0.175514</v>
      </c>
      <c r="D12" s="3">
        <v>0.35068700000000003</v>
      </c>
      <c r="E12" s="3">
        <v>0.525729</v>
      </c>
      <c r="F12" s="3">
        <v>0.70089599999999996</v>
      </c>
      <c r="G12" s="3">
        <v>0.87580499999999994</v>
      </c>
      <c r="H12" s="3">
        <v>1.05088</v>
      </c>
      <c r="I12" s="4">
        <f>AVERAGE(wOver[[#This Row],[W1]:[W6]])</f>
        <v>0.61325183333333333</v>
      </c>
      <c r="J12" s="3">
        <f>_xlfn.STDEV.P(wOver[[#This Row],[W1]:[W6]])</f>
        <v>0.29898412062817925</v>
      </c>
    </row>
    <row r="13" spans="1:10" x14ac:dyDescent="0.45">
      <c r="A13" t="s">
        <v>1</v>
      </c>
      <c r="B13">
        <v>0.01</v>
      </c>
      <c r="C13" s="1">
        <v>0.52469399999999999</v>
      </c>
      <c r="D13">
        <v>0.172484</v>
      </c>
      <c r="E13">
        <v>0.34752300000000003</v>
      </c>
      <c r="F13">
        <v>0.69976799999999995</v>
      </c>
      <c r="G13">
        <v>1.0477399999999999</v>
      </c>
      <c r="H13">
        <v>0.87473599999999996</v>
      </c>
      <c r="I13" s="1">
        <f>AVERAGE(wOver[[#This Row],[W1]:[W6]])</f>
        <v>0.61115749999999991</v>
      </c>
      <c r="J13">
        <f>_xlfn.STDEV.P(wOver[[#This Row],[W1]:[W6]])</f>
        <v>0.299261104417614</v>
      </c>
    </row>
    <row r="14" spans="1:10" x14ac:dyDescent="0.45">
      <c r="A14" t="s">
        <v>1</v>
      </c>
      <c r="B14">
        <v>1.7999999999999999E-2</v>
      </c>
      <c r="C14" s="1">
        <v>0.52660499999999999</v>
      </c>
      <c r="D14">
        <v>0.87756100000000004</v>
      </c>
      <c r="E14">
        <v>0.182395</v>
      </c>
      <c r="F14">
        <v>0.34947499999999998</v>
      </c>
      <c r="G14">
        <v>0.70455800000000002</v>
      </c>
      <c r="H14">
        <v>1.05562</v>
      </c>
      <c r="I14" s="1">
        <f>AVERAGE(wOver[[#This Row],[W1]:[W6]])</f>
        <v>0.61603566666666676</v>
      </c>
      <c r="J14">
        <f>_xlfn.STDEV.P(wOver[[#This Row],[W1]:[W6]])</f>
        <v>0.29904368424678174</v>
      </c>
    </row>
    <row r="15" spans="1:10" x14ac:dyDescent="0.45">
      <c r="A15" t="s">
        <v>1</v>
      </c>
      <c r="B15">
        <v>3.1E-2</v>
      </c>
      <c r="C15" s="1">
        <v>0.17446999999999999</v>
      </c>
      <c r="D15">
        <v>0.52563800000000005</v>
      </c>
      <c r="E15">
        <v>0.35352299999999998</v>
      </c>
      <c r="F15">
        <v>0.70874000000000004</v>
      </c>
      <c r="G15">
        <v>0.87968900000000005</v>
      </c>
      <c r="H15">
        <v>1.0507500000000001</v>
      </c>
      <c r="I15" s="1">
        <f>AVERAGE(wOver[[#This Row],[W1]:[W6]])</f>
        <v>0.61546833333333328</v>
      </c>
      <c r="J15">
        <f>_xlfn.STDEV.P(wOver[[#This Row],[W1]:[W6]])</f>
        <v>0.29976287024839421</v>
      </c>
    </row>
    <row r="16" spans="1:10" x14ac:dyDescent="0.45">
      <c r="A16" t="s">
        <v>1</v>
      </c>
      <c r="B16">
        <v>5.6000000000000001E-2</v>
      </c>
      <c r="C16" s="1">
        <v>0.69981899999999997</v>
      </c>
      <c r="D16">
        <v>0.177512</v>
      </c>
      <c r="E16">
        <v>0.362597</v>
      </c>
      <c r="F16">
        <v>0.53773000000000004</v>
      </c>
      <c r="G16">
        <v>0.87178599999999995</v>
      </c>
      <c r="H16">
        <v>1.0538400000000001</v>
      </c>
      <c r="I16" s="1">
        <f>AVERAGE(wOver[[#This Row],[W1]:[W6]])</f>
        <v>0.61721400000000004</v>
      </c>
      <c r="J16">
        <f>_xlfn.STDEV.P(wOver[[#This Row],[W1]:[W6]])</f>
        <v>0.29629887074652611</v>
      </c>
    </row>
    <row r="17" spans="1:10" x14ac:dyDescent="0.45">
      <c r="A17" t="s">
        <v>1</v>
      </c>
      <c r="B17">
        <v>0.1</v>
      </c>
      <c r="C17" s="1">
        <v>0.91360799999999998</v>
      </c>
      <c r="D17">
        <v>1.0916999999999999</v>
      </c>
      <c r="E17">
        <v>0.19339799999999999</v>
      </c>
      <c r="F17">
        <v>0.36946400000000001</v>
      </c>
      <c r="G17">
        <v>0.56061000000000005</v>
      </c>
      <c r="H17">
        <v>0.75464799999999999</v>
      </c>
      <c r="I17" s="1">
        <f>AVERAGE(wOver[[#This Row],[W1]:[W6]])</f>
        <v>0.64723800000000009</v>
      </c>
      <c r="J17">
        <f>_xlfn.STDEV.P(wOver[[#This Row],[W1]:[W6]])</f>
        <v>0.30840176866764762</v>
      </c>
    </row>
    <row r="18" spans="1:10" x14ac:dyDescent="0.45">
      <c r="A18" t="s">
        <v>1</v>
      </c>
      <c r="B18">
        <v>0.18</v>
      </c>
      <c r="C18" s="1">
        <v>0.84476499999999999</v>
      </c>
      <c r="D18">
        <v>1.03081</v>
      </c>
      <c r="E18">
        <v>0.155421</v>
      </c>
      <c r="F18">
        <v>0.32348700000000002</v>
      </c>
      <c r="G18">
        <v>0.49658200000000002</v>
      </c>
      <c r="H18">
        <v>0.69867000000000001</v>
      </c>
      <c r="I18" s="1">
        <f>AVERAGE(wOver[[#This Row],[W1]:[W6]])</f>
        <v>0.59162250000000005</v>
      </c>
      <c r="J18">
        <f>_xlfn.STDEV.P(wOver[[#This Row],[W1]:[W6]])</f>
        <v>0.29989638330638468</v>
      </c>
    </row>
    <row r="19" spans="1:10" x14ac:dyDescent="0.45">
      <c r="A19" t="s">
        <v>1</v>
      </c>
      <c r="B19">
        <v>0.31</v>
      </c>
      <c r="C19" s="1">
        <v>0.46627999999999997</v>
      </c>
      <c r="D19">
        <v>0.40639799999999998</v>
      </c>
      <c r="E19">
        <v>0.60755999999999999</v>
      </c>
      <c r="F19">
        <v>0.77455799999999997</v>
      </c>
      <c r="G19">
        <v>0.84464799999999995</v>
      </c>
      <c r="H19">
        <v>1.1116699999999999</v>
      </c>
      <c r="I19" s="1">
        <f>AVERAGE(wOver[[#This Row],[W1]:[W6]])</f>
        <v>0.70185233333333319</v>
      </c>
      <c r="J19">
        <f>_xlfn.STDEV.P(wOver[[#This Row],[W1]:[W6]])</f>
        <v>0.23989784900360347</v>
      </c>
    </row>
    <row r="20" spans="1:10" x14ac:dyDescent="0.45">
      <c r="A20" t="s">
        <v>1</v>
      </c>
      <c r="B20">
        <v>0.56000000000000005</v>
      </c>
      <c r="C20" s="1">
        <v>0.21946099999999999</v>
      </c>
      <c r="D20">
        <v>0.30460300000000001</v>
      </c>
      <c r="E20">
        <v>0.67857199999999995</v>
      </c>
      <c r="F20">
        <v>0.53076100000000004</v>
      </c>
      <c r="G20">
        <v>0.89176699999999998</v>
      </c>
      <c r="H20">
        <v>1.01085</v>
      </c>
      <c r="I20" s="1">
        <f>AVERAGE(wOver[[#This Row],[W1]:[W6]])</f>
        <v>0.60600233333333331</v>
      </c>
      <c r="J20">
        <f>_xlfn.STDEV.P(wOver[[#This Row],[W1]:[W6]])</f>
        <v>0.28773438364555759</v>
      </c>
    </row>
    <row r="21" spans="1:10" x14ac:dyDescent="0.45">
      <c r="A21" t="s">
        <v>1</v>
      </c>
      <c r="B21">
        <v>1</v>
      </c>
      <c r="C21" s="1">
        <v>0.79553499999999999</v>
      </c>
      <c r="D21">
        <v>1.01786</v>
      </c>
      <c r="E21">
        <v>1.03383</v>
      </c>
      <c r="F21">
        <v>1.1950400000000001</v>
      </c>
      <c r="G21">
        <v>1.14453</v>
      </c>
      <c r="H21">
        <v>0.863703</v>
      </c>
      <c r="I21" s="1">
        <f>AVERAGE(wOver[[#This Row],[W1]:[W6]])</f>
        <v>1.0084163333333334</v>
      </c>
      <c r="J21">
        <f>_xlfn.STDEV.P(wOver[[#This Row],[W1]:[W6]])</f>
        <v>0.14162789946036608</v>
      </c>
    </row>
    <row r="22" spans="1:10" x14ac:dyDescent="0.45">
      <c r="A22" s="3" t="s">
        <v>2</v>
      </c>
      <c r="B22" s="3">
        <v>0</v>
      </c>
      <c r="C22" s="4">
        <v>0.52577399999999996</v>
      </c>
      <c r="D22" s="3">
        <v>0.35079100000000002</v>
      </c>
      <c r="E22" s="3">
        <v>0.17557200000000001</v>
      </c>
      <c r="F22" s="3">
        <v>0.70085600000000003</v>
      </c>
      <c r="G22" s="3">
        <v>1.0509500000000001</v>
      </c>
      <c r="H22" s="3">
        <v>0.87593699999999997</v>
      </c>
      <c r="I22" s="4">
        <f>AVERAGE(wOver[[#This Row],[W1]:[W6]])</f>
        <v>0.61331333333333338</v>
      </c>
      <c r="J22" s="3">
        <f>_xlfn.STDEV.P(wOver[[#This Row],[W1]:[W6]])</f>
        <v>0.29898699695230146</v>
      </c>
    </row>
    <row r="23" spans="1:10" x14ac:dyDescent="0.45">
      <c r="A23" t="s">
        <v>2</v>
      </c>
      <c r="B23">
        <v>0.01</v>
      </c>
      <c r="C23" s="1">
        <v>0.17261799999999999</v>
      </c>
      <c r="D23">
        <v>0.52482499999999999</v>
      </c>
      <c r="E23">
        <v>0.34780699999999998</v>
      </c>
      <c r="F23">
        <v>0.69982599999999995</v>
      </c>
      <c r="G23">
        <v>0.87487199999999998</v>
      </c>
      <c r="H23">
        <v>1.04792</v>
      </c>
      <c r="I23" s="1">
        <f>AVERAGE(wOver[[#This Row],[W1]:[W6]])</f>
        <v>0.61131133333333332</v>
      </c>
      <c r="J23">
        <f>_xlfn.STDEV.P(wOver[[#This Row],[W1]:[W6]])</f>
        <v>0.29924696024279929</v>
      </c>
    </row>
    <row r="24" spans="1:10" x14ac:dyDescent="0.45">
      <c r="A24" t="s">
        <v>2</v>
      </c>
      <c r="B24">
        <v>1.7999999999999999E-2</v>
      </c>
      <c r="C24" s="1">
        <v>0.18268300000000001</v>
      </c>
      <c r="D24">
        <v>1.0561499999999999</v>
      </c>
      <c r="E24">
        <v>0.349856</v>
      </c>
      <c r="F24">
        <v>0.52699200000000002</v>
      </c>
      <c r="G24">
        <v>0.70504599999999995</v>
      </c>
      <c r="H24">
        <v>0.87810500000000002</v>
      </c>
      <c r="I24" s="1">
        <f>AVERAGE(wOver[[#This Row],[W1]:[W6]])</f>
        <v>0.61647200000000002</v>
      </c>
      <c r="J24">
        <f>_xlfn.STDEV.P(wOver[[#This Row],[W1]:[W6]])</f>
        <v>0.29913140429862362</v>
      </c>
    </row>
    <row r="25" spans="1:10" x14ac:dyDescent="0.45">
      <c r="A25" t="s">
        <v>2</v>
      </c>
      <c r="B25">
        <v>3.1E-2</v>
      </c>
      <c r="C25" s="1">
        <v>0.35374800000000001</v>
      </c>
      <c r="D25">
        <v>0.52575400000000005</v>
      </c>
      <c r="E25">
        <v>0.17454700000000001</v>
      </c>
      <c r="F25">
        <v>0.70885699999999996</v>
      </c>
      <c r="G25">
        <v>1.0507899999999999</v>
      </c>
      <c r="H25">
        <v>0.87975899999999996</v>
      </c>
      <c r="I25" s="1">
        <f>AVERAGE(wOver[[#This Row],[W1]:[W6]])</f>
        <v>0.61557583333333332</v>
      </c>
      <c r="J25">
        <f>_xlfn.STDEV.P(wOver[[#This Row],[W1]:[W6]])</f>
        <v>0.2997314632452503</v>
      </c>
    </row>
    <row r="26" spans="1:10" x14ac:dyDescent="0.45">
      <c r="A26" t="s">
        <v>2</v>
      </c>
      <c r="B26">
        <v>5.6000000000000001E-2</v>
      </c>
      <c r="C26" s="1">
        <v>0.69986199999999998</v>
      </c>
      <c r="D26">
        <v>0.17766399999999999</v>
      </c>
      <c r="E26">
        <v>0.36270200000000002</v>
      </c>
      <c r="F26">
        <v>0.53778700000000002</v>
      </c>
      <c r="G26">
        <v>0.87189700000000003</v>
      </c>
      <c r="H26">
        <v>1.05386</v>
      </c>
      <c r="I26" s="1">
        <f>AVERAGE(wOver[[#This Row],[W1]:[W6]])</f>
        <v>0.61729533333333331</v>
      </c>
      <c r="J26">
        <f>_xlfn.STDEV.P(wOver[[#This Row],[W1]:[W6]])</f>
        <v>0.29626649630339402</v>
      </c>
    </row>
    <row r="27" spans="1:10" x14ac:dyDescent="0.45">
      <c r="A27" t="s">
        <v>2</v>
      </c>
      <c r="B27">
        <v>0.1</v>
      </c>
      <c r="C27" s="1">
        <v>0.19370000000000001</v>
      </c>
      <c r="D27">
        <v>0.36966199999999999</v>
      </c>
      <c r="E27">
        <v>0.56084000000000001</v>
      </c>
      <c r="F27">
        <v>0.75492300000000001</v>
      </c>
      <c r="G27">
        <v>0.91385400000000006</v>
      </c>
      <c r="H27">
        <v>1.0919099999999999</v>
      </c>
      <c r="I27" s="1">
        <f>AVERAGE(wOver[[#This Row],[W1]:[W6]])</f>
        <v>0.64748149999999993</v>
      </c>
      <c r="J27">
        <f>_xlfn.STDEV.P(wOver[[#This Row],[W1]:[W6]])</f>
        <v>0.30838902653831574</v>
      </c>
    </row>
    <row r="28" spans="1:10" x14ac:dyDescent="0.45">
      <c r="A28" t="s">
        <v>2</v>
      </c>
      <c r="B28">
        <v>0.18</v>
      </c>
      <c r="C28" s="1">
        <v>0.15567800000000001</v>
      </c>
      <c r="D28">
        <v>0.69893499999999997</v>
      </c>
      <c r="E28">
        <v>0.323772</v>
      </c>
      <c r="F28">
        <v>0.49693799999999999</v>
      </c>
      <c r="G28">
        <v>0.84501300000000001</v>
      </c>
      <c r="H28">
        <v>1.03172</v>
      </c>
      <c r="I28" s="1">
        <f>AVERAGE(wOver[[#This Row],[W1]:[W6]])</f>
        <v>0.59200933333333339</v>
      </c>
      <c r="J28">
        <f>_xlfn.STDEV.P(wOver[[#This Row],[W1]:[W6]])</f>
        <v>0.30004563035848764</v>
      </c>
    </row>
    <row r="29" spans="1:10" x14ac:dyDescent="0.45">
      <c r="A29" t="s">
        <v>2</v>
      </c>
      <c r="B29">
        <v>0.31</v>
      </c>
      <c r="C29" s="1">
        <v>0.48973800000000001</v>
      </c>
      <c r="D29">
        <v>0.40664</v>
      </c>
      <c r="E29">
        <v>0.607819</v>
      </c>
      <c r="F29">
        <v>0.77481199999999995</v>
      </c>
      <c r="G29">
        <v>0.84480999999999995</v>
      </c>
      <c r="H29">
        <v>1.11185</v>
      </c>
      <c r="I29" s="1">
        <f>AVERAGE(wOver[[#This Row],[W1]:[W6]])</f>
        <v>0.70594483333333324</v>
      </c>
      <c r="J29">
        <f>_xlfn.STDEV.P(wOver[[#This Row],[W1]:[W6]])</f>
        <v>0.23620001506097651</v>
      </c>
    </row>
    <row r="30" spans="1:10" x14ac:dyDescent="0.45">
      <c r="A30" t="s">
        <v>2</v>
      </c>
      <c r="B30">
        <v>0.56000000000000005</v>
      </c>
      <c r="C30" s="1">
        <v>1.0109399999999999</v>
      </c>
      <c r="D30">
        <v>0.30463800000000002</v>
      </c>
      <c r="E30">
        <v>0.21959100000000001</v>
      </c>
      <c r="F30">
        <v>0.63074200000000002</v>
      </c>
      <c r="G30">
        <v>0.530833</v>
      </c>
      <c r="H30">
        <v>0.87072099999999997</v>
      </c>
      <c r="I30" s="1">
        <f>AVERAGE(wOver[[#This Row],[W1]:[W6]])</f>
        <v>0.59457749999999998</v>
      </c>
      <c r="J30">
        <f>_xlfn.STDEV.P(wOver[[#This Row],[W1]:[W6]])</f>
        <v>0.28274369582759928</v>
      </c>
    </row>
    <row r="31" spans="1:10" x14ac:dyDescent="0.45">
      <c r="A31" t="s">
        <v>2</v>
      </c>
      <c r="B31">
        <v>1</v>
      </c>
      <c r="C31" s="1">
        <v>1.01563</v>
      </c>
      <c r="D31">
        <v>1.09707</v>
      </c>
      <c r="E31">
        <v>0.70725800000000005</v>
      </c>
      <c r="F31">
        <v>1.1741600000000001</v>
      </c>
      <c r="G31">
        <v>1.0180100000000001</v>
      </c>
      <c r="H31">
        <v>0.79377500000000001</v>
      </c>
      <c r="I31" s="1">
        <f>AVERAGE(wOver[[#This Row],[W1]:[W6]])</f>
        <v>0.96765050000000008</v>
      </c>
      <c r="J31">
        <f>_xlfn.STDEV.P(wOver[[#This Row],[W1]:[W6]])</f>
        <v>0.16445396305526661</v>
      </c>
    </row>
    <row r="32" spans="1:10" x14ac:dyDescent="0.45">
      <c r="A32" s="3" t="s">
        <v>3</v>
      </c>
      <c r="B32" s="3">
        <v>0</v>
      </c>
      <c r="C32" s="4">
        <v>0.70064499999999996</v>
      </c>
      <c r="D32" s="3">
        <v>1.0508</v>
      </c>
      <c r="E32" s="3">
        <v>0.17540800000000001</v>
      </c>
      <c r="F32" s="3">
        <v>0.350578</v>
      </c>
      <c r="G32" s="3">
        <v>0.52565200000000001</v>
      </c>
      <c r="H32" s="3">
        <v>0.87575599999999998</v>
      </c>
      <c r="I32" s="4">
        <f>AVERAGE(wOver[[#This Row],[W1]:[W6]])</f>
        <v>0.61313983333333333</v>
      </c>
      <c r="J32" s="3">
        <f>_xlfn.STDEV.P(wOver[[#This Row],[W1]:[W6]])</f>
        <v>0.29899075289291493</v>
      </c>
    </row>
    <row r="33" spans="1:10" x14ac:dyDescent="0.45">
      <c r="A33" t="s">
        <v>3</v>
      </c>
      <c r="B33">
        <v>0.01</v>
      </c>
      <c r="C33" s="1">
        <v>0.17261599999999999</v>
      </c>
      <c r="D33">
        <v>0.34770600000000002</v>
      </c>
      <c r="E33">
        <v>0.52487399999999995</v>
      </c>
      <c r="F33">
        <v>0.69982500000000003</v>
      </c>
      <c r="G33">
        <v>0.87492099999999995</v>
      </c>
      <c r="H33">
        <v>1.0479400000000001</v>
      </c>
      <c r="I33" s="1">
        <f>AVERAGE(wOver[[#This Row],[W1]:[W6]])</f>
        <v>0.61131366666666664</v>
      </c>
      <c r="J33">
        <f>_xlfn.STDEV.P(wOver[[#This Row],[W1]:[W6]])</f>
        <v>0.29927192147870385</v>
      </c>
    </row>
    <row r="34" spans="1:10" x14ac:dyDescent="0.45">
      <c r="A34" t="s">
        <v>3</v>
      </c>
      <c r="B34">
        <v>1.7999999999999999E-2</v>
      </c>
      <c r="C34" s="1">
        <v>0.18262500000000001</v>
      </c>
      <c r="D34">
        <v>0.70500499999999999</v>
      </c>
      <c r="E34">
        <v>0.34980899999999998</v>
      </c>
      <c r="F34">
        <v>0.52697000000000005</v>
      </c>
      <c r="G34">
        <v>0.87809499999999996</v>
      </c>
      <c r="H34">
        <v>1.0561499999999999</v>
      </c>
      <c r="I34" s="1">
        <f>AVERAGE(wOver[[#This Row],[W1]:[W6]])</f>
        <v>0.61644233333333343</v>
      </c>
      <c r="J34">
        <f>_xlfn.STDEV.P(wOver[[#This Row],[W1]:[W6]])</f>
        <v>0.29915002022489562</v>
      </c>
    </row>
    <row r="35" spans="1:10" x14ac:dyDescent="0.45">
      <c r="A35" t="s">
        <v>3</v>
      </c>
      <c r="B35">
        <v>3.1E-2</v>
      </c>
      <c r="C35" s="1">
        <v>0.174733</v>
      </c>
      <c r="D35">
        <v>0.35388599999999998</v>
      </c>
      <c r="E35">
        <v>1.0510299999999999</v>
      </c>
      <c r="F35">
        <v>0.87995299999999999</v>
      </c>
      <c r="G35">
        <v>0.52590800000000004</v>
      </c>
      <c r="H35">
        <v>0.70898499999999998</v>
      </c>
      <c r="I35" s="1">
        <f>AVERAGE(wOver[[#This Row],[W1]:[W6]])</f>
        <v>0.61574916666666668</v>
      </c>
      <c r="J35">
        <f>_xlfn.STDEV.P(wOver[[#This Row],[W1]:[W6]])</f>
        <v>0.29975128650789623</v>
      </c>
    </row>
    <row r="36" spans="1:10" x14ac:dyDescent="0.45">
      <c r="A36" t="s">
        <v>3</v>
      </c>
      <c r="B36">
        <v>5.6000000000000001E-2</v>
      </c>
      <c r="C36" s="1">
        <v>0.36269499999999999</v>
      </c>
      <c r="D36">
        <v>0.87179899999999999</v>
      </c>
      <c r="E36">
        <v>0.17758299999999999</v>
      </c>
      <c r="F36">
        <v>0.53781999999999996</v>
      </c>
      <c r="G36">
        <v>0.69984999999999997</v>
      </c>
      <c r="H36">
        <v>1.0539400000000001</v>
      </c>
      <c r="I36" s="1">
        <f>AVERAGE(wOver[[#This Row],[W1]:[W6]])</f>
        <v>0.61728116666666677</v>
      </c>
      <c r="J36">
        <f>_xlfn.STDEV.P(wOver[[#This Row],[W1]:[W6]])</f>
        <v>0.29629111458351032</v>
      </c>
    </row>
    <row r="37" spans="1:10" x14ac:dyDescent="0.45">
      <c r="A37" t="s">
        <v>3</v>
      </c>
      <c r="B37">
        <v>0.1</v>
      </c>
      <c r="C37" s="1">
        <v>0.193714</v>
      </c>
      <c r="D37">
        <v>0.36976300000000001</v>
      </c>
      <c r="E37">
        <v>0.56092299999999995</v>
      </c>
      <c r="F37">
        <v>0.75492199999999998</v>
      </c>
      <c r="G37">
        <v>0.91395999999999999</v>
      </c>
      <c r="H37">
        <v>1.09206</v>
      </c>
      <c r="I37" s="1">
        <f>AVERAGE(wOver[[#This Row],[W1]:[W6]])</f>
        <v>0.64755700000000005</v>
      </c>
      <c r="J37">
        <f>_xlfn.STDEV.P(wOver[[#This Row],[W1]:[W6]])</f>
        <v>0.30841777501845347</v>
      </c>
    </row>
    <row r="38" spans="1:10" x14ac:dyDescent="0.45">
      <c r="A38" t="s">
        <v>3</v>
      </c>
      <c r="B38">
        <v>0.18</v>
      </c>
      <c r="C38" s="1">
        <v>0.84487500000000004</v>
      </c>
      <c r="D38">
        <v>0.15576400000000001</v>
      </c>
      <c r="E38">
        <v>0.32371100000000003</v>
      </c>
      <c r="F38">
        <v>0.49689100000000003</v>
      </c>
      <c r="G38">
        <v>0.69888499999999998</v>
      </c>
      <c r="H38">
        <v>1.0309600000000001</v>
      </c>
      <c r="I38" s="1">
        <f>AVERAGE(wOver[[#This Row],[W1]:[W6]])</f>
        <v>0.59184766666666677</v>
      </c>
      <c r="J38">
        <f>_xlfn.STDEV.P(wOver[[#This Row],[W1]:[W6]])</f>
        <v>0.29982841435153451</v>
      </c>
    </row>
    <row r="39" spans="1:10" x14ac:dyDescent="0.45">
      <c r="A39" t="s">
        <v>3</v>
      </c>
      <c r="B39">
        <v>0.31</v>
      </c>
      <c r="C39" s="1">
        <v>0.77502800000000005</v>
      </c>
      <c r="D39">
        <v>0.48238999999999999</v>
      </c>
      <c r="E39">
        <v>0.40679300000000002</v>
      </c>
      <c r="F39">
        <v>0.607927</v>
      </c>
      <c r="G39">
        <v>0.84519100000000003</v>
      </c>
      <c r="H39">
        <v>1.11233</v>
      </c>
      <c r="I39" s="1">
        <f>AVERAGE(wOver[[#This Row],[W1]:[W6]])</f>
        <v>0.70494316666666668</v>
      </c>
      <c r="J39">
        <f>_xlfn.STDEV.P(wOver[[#This Row],[W1]:[W6]])</f>
        <v>0.23748015392969618</v>
      </c>
    </row>
    <row r="40" spans="1:10" x14ac:dyDescent="0.45">
      <c r="A40" t="s">
        <v>3</v>
      </c>
      <c r="B40">
        <v>0.56000000000000005</v>
      </c>
      <c r="C40" s="1">
        <v>0.53089500000000001</v>
      </c>
      <c r="D40">
        <v>0.30475799999999997</v>
      </c>
      <c r="E40">
        <v>0.21962499999999999</v>
      </c>
      <c r="F40">
        <v>0.62117199999999995</v>
      </c>
      <c r="G40">
        <v>0.89673999999999998</v>
      </c>
      <c r="H40">
        <v>1.07185</v>
      </c>
      <c r="I40" s="1">
        <f>AVERAGE(wOver[[#This Row],[W1]:[W6]])</f>
        <v>0.60750666666666664</v>
      </c>
      <c r="J40">
        <f>_xlfn.STDEV.P(wOver[[#This Row],[W1]:[W6]])</f>
        <v>0.30205840595027689</v>
      </c>
    </row>
    <row r="41" spans="1:10" x14ac:dyDescent="0.45">
      <c r="A41" t="s">
        <v>3</v>
      </c>
      <c r="B41">
        <v>1</v>
      </c>
      <c r="C41" s="1">
        <v>0.714005</v>
      </c>
      <c r="D41">
        <v>1.0255300000000001</v>
      </c>
      <c r="E41">
        <v>1.17506</v>
      </c>
      <c r="F41">
        <v>1.0934900000000001</v>
      </c>
      <c r="G41">
        <v>0.82753399999999999</v>
      </c>
      <c r="H41">
        <v>1.0182500000000001</v>
      </c>
      <c r="I41" s="1">
        <f>AVERAGE(wOver[[#This Row],[W1]:[W6]])</f>
        <v>0.97564483333333341</v>
      </c>
      <c r="J41">
        <f>_xlfn.STDEV.P(wOver[[#This Row],[W1]:[W6]])</f>
        <v>0.15724176895301167</v>
      </c>
    </row>
    <row r="42" spans="1:10" x14ac:dyDescent="0.45">
      <c r="A42" s="3" t="s">
        <v>4</v>
      </c>
      <c r="B42" s="3">
        <v>0</v>
      </c>
      <c r="C42" s="4">
        <v>1.05135</v>
      </c>
      <c r="D42" s="3">
        <v>1.2266699999999999</v>
      </c>
      <c r="E42" s="3">
        <v>1.40174</v>
      </c>
      <c r="F42" s="3">
        <v>1.57691</v>
      </c>
      <c r="G42" s="3">
        <v>1.75186</v>
      </c>
      <c r="H42" s="3">
        <v>1.92693</v>
      </c>
      <c r="I42" s="4">
        <f>AVERAGE(wOver[[#This Row],[W1]:[W6]])</f>
        <v>1.4892433333333333</v>
      </c>
      <c r="J42" s="3">
        <f>_xlfn.STDEV.P(wOver[[#This Row],[W1]:[W6]])</f>
        <v>0.29904702426578766</v>
      </c>
    </row>
    <row r="43" spans="1:10" x14ac:dyDescent="0.45">
      <c r="A43" t="s">
        <v>4</v>
      </c>
      <c r="B43">
        <v>0.01</v>
      </c>
      <c r="C43" s="1">
        <v>0.69995600000000002</v>
      </c>
      <c r="D43">
        <v>1.2193799999999999</v>
      </c>
      <c r="E43">
        <v>1.3924799999999999</v>
      </c>
      <c r="F43">
        <v>1.5655600000000001</v>
      </c>
      <c r="G43">
        <v>0.875166</v>
      </c>
      <c r="H43">
        <v>1.0482199999999999</v>
      </c>
      <c r="I43" s="1">
        <f>AVERAGE(wOver[[#This Row],[W1]:[W6]])</f>
        <v>1.1334603333333333</v>
      </c>
      <c r="J43">
        <f>_xlfn.STDEV.P(wOver[[#This Row],[W1]:[W6]])</f>
        <v>0.29526580760712734</v>
      </c>
    </row>
    <row r="44" spans="1:10" x14ac:dyDescent="0.45">
      <c r="A44" t="s">
        <v>4</v>
      </c>
      <c r="B44">
        <v>1.7999999999999999E-2</v>
      </c>
      <c r="C44" s="1">
        <v>0.182529</v>
      </c>
      <c r="D44">
        <v>1.0558099999999999</v>
      </c>
      <c r="E44">
        <v>0.87779700000000005</v>
      </c>
      <c r="F44">
        <v>1.2250300000000001</v>
      </c>
      <c r="G44">
        <v>1.39699</v>
      </c>
      <c r="H44">
        <v>1.5770299999999999</v>
      </c>
      <c r="I44" s="1">
        <f>AVERAGE(wOver[[#This Row],[W1]:[W6]])</f>
        <v>1.0525309999999999</v>
      </c>
      <c r="J44">
        <f>_xlfn.STDEV.P(wOver[[#This Row],[W1]:[W6]])</f>
        <v>0.44924998818104211</v>
      </c>
    </row>
    <row r="45" spans="1:10" x14ac:dyDescent="0.45">
      <c r="A45" t="s">
        <v>4</v>
      </c>
      <c r="B45">
        <v>3.1E-2</v>
      </c>
      <c r="C45" s="1">
        <v>0.17443400000000001</v>
      </c>
      <c r="D45">
        <v>0.35350799999999999</v>
      </c>
      <c r="E45">
        <v>0.52555200000000002</v>
      </c>
      <c r="F45">
        <v>0.70852800000000005</v>
      </c>
      <c r="G45">
        <v>0.87959299999999996</v>
      </c>
      <c r="H45">
        <v>1.05064</v>
      </c>
      <c r="I45" s="1">
        <f>AVERAGE(wOver[[#This Row],[W1]:[W6]])</f>
        <v>0.61537583333333334</v>
      </c>
      <c r="J45">
        <f>_xlfn.STDEV.P(wOver[[#This Row],[W1]:[W6]])</f>
        <v>0.29972646297717109</v>
      </c>
    </row>
    <row r="46" spans="1:10" x14ac:dyDescent="0.45">
      <c r="A46" t="s">
        <v>4</v>
      </c>
      <c r="B46">
        <v>5.6000000000000001E-2</v>
      </c>
      <c r="C46" s="1">
        <v>0.177536</v>
      </c>
      <c r="D46">
        <v>0.36265900000000001</v>
      </c>
      <c r="E46">
        <v>0.537686</v>
      </c>
      <c r="F46">
        <v>0.69985200000000003</v>
      </c>
      <c r="G46">
        <v>0.87191399999999997</v>
      </c>
      <c r="H46">
        <v>1.05399</v>
      </c>
      <c r="I46" s="1">
        <f>AVERAGE(wOver[[#This Row],[W1]:[W6]])</f>
        <v>0.61727283333333327</v>
      </c>
      <c r="J46">
        <f>_xlfn.STDEV.P(wOver[[#This Row],[W1]:[W6]])</f>
        <v>0.29634272865069422</v>
      </c>
    </row>
    <row r="47" spans="1:10" x14ac:dyDescent="0.45">
      <c r="A47" t="s">
        <v>4</v>
      </c>
      <c r="B47">
        <v>0.1</v>
      </c>
      <c r="C47" s="1">
        <v>0.193495</v>
      </c>
      <c r="D47">
        <v>0.36957899999999999</v>
      </c>
      <c r="E47">
        <v>0.56066099999999996</v>
      </c>
      <c r="F47">
        <v>0.75459799999999999</v>
      </c>
      <c r="G47">
        <v>0.91364999999999996</v>
      </c>
      <c r="H47">
        <v>1.09171</v>
      </c>
      <c r="I47" s="1">
        <f>AVERAGE(wOver[[#This Row],[W1]:[W6]])</f>
        <v>0.64728216666666671</v>
      </c>
      <c r="J47">
        <f>_xlfn.STDEV.P(wOver[[#This Row],[W1]:[W6]])</f>
        <v>0.30836387533854465</v>
      </c>
    </row>
    <row r="48" spans="1:10" x14ac:dyDescent="0.45">
      <c r="A48" t="s">
        <v>4</v>
      </c>
      <c r="B48">
        <v>0.18</v>
      </c>
      <c r="C48" s="1">
        <v>0.15557399999999999</v>
      </c>
      <c r="D48">
        <v>0.49665399999999998</v>
      </c>
      <c r="E48">
        <v>1.2690399999999999</v>
      </c>
      <c r="F48">
        <v>0.69872599999999996</v>
      </c>
      <c r="G48">
        <v>0.84479099999999996</v>
      </c>
      <c r="H48">
        <v>1.03084</v>
      </c>
      <c r="I48" s="1">
        <f>AVERAGE(wOver[[#This Row],[W1]:[W6]])</f>
        <v>0.74927083333333344</v>
      </c>
      <c r="J48">
        <f>_xlfn.STDEV.P(wOver[[#This Row],[W1]:[W6]])</f>
        <v>0.35995630731262201</v>
      </c>
    </row>
    <row r="49" spans="1:10" x14ac:dyDescent="0.45">
      <c r="A49" t="s">
        <v>4</v>
      </c>
      <c r="B49">
        <v>0.31</v>
      </c>
      <c r="C49" s="1">
        <v>0.68845599999999996</v>
      </c>
      <c r="D49">
        <v>0.406642</v>
      </c>
      <c r="E49">
        <v>0.60774300000000003</v>
      </c>
      <c r="F49">
        <v>0.77489600000000003</v>
      </c>
      <c r="G49">
        <v>1.11199</v>
      </c>
      <c r="H49">
        <v>1.3090200000000001</v>
      </c>
      <c r="I49" s="1">
        <f>AVERAGE(wOver[[#This Row],[W1]:[W6]])</f>
        <v>0.81645783333333333</v>
      </c>
      <c r="J49">
        <f>_xlfn.STDEV.P(wOver[[#This Row],[W1]:[W6]])</f>
        <v>0.30539032504780761</v>
      </c>
    </row>
    <row r="50" spans="1:10" x14ac:dyDescent="0.45">
      <c r="A50" t="s">
        <v>4</v>
      </c>
      <c r="B50">
        <v>0.56000000000000005</v>
      </c>
      <c r="C50" s="1">
        <v>0.21949199999999999</v>
      </c>
      <c r="D50">
        <v>0.30456299999999997</v>
      </c>
      <c r="E50">
        <v>0.94858699999999996</v>
      </c>
      <c r="F50">
        <v>1.00604</v>
      </c>
      <c r="G50">
        <v>1.6750400000000001</v>
      </c>
      <c r="H50">
        <v>1.3667199999999999</v>
      </c>
      <c r="I50" s="1">
        <f>AVERAGE(wOver[[#This Row],[W1]:[W6]])</f>
        <v>0.92007366666666668</v>
      </c>
      <c r="J50">
        <f>_xlfn.STDEV.P(wOver[[#This Row],[W1]:[W6]])</f>
        <v>0.52398129493353318</v>
      </c>
    </row>
    <row r="51" spans="1:10" x14ac:dyDescent="0.45">
      <c r="A51" t="s">
        <v>4</v>
      </c>
      <c r="B51">
        <v>1</v>
      </c>
      <c r="C51" s="1">
        <v>0.63508299999999995</v>
      </c>
      <c r="D51">
        <v>1.2233799999999999</v>
      </c>
      <c r="E51">
        <v>1.6852799999999999</v>
      </c>
      <c r="F51">
        <v>1.3038799999999999</v>
      </c>
      <c r="G51">
        <v>1.15726</v>
      </c>
      <c r="H51">
        <v>1.0181100000000001</v>
      </c>
      <c r="I51" s="1">
        <f>AVERAGE(wOver[[#This Row],[W1]:[W6]])</f>
        <v>1.1704988333333335</v>
      </c>
      <c r="J51">
        <f>_xlfn.STDEV.P(wOver[[#This Row],[W1]:[W6]])</f>
        <v>0.31508050314716668</v>
      </c>
    </row>
    <row r="52" spans="1:10" x14ac:dyDescent="0.45">
      <c r="A52" s="3" t="s">
        <v>5</v>
      </c>
      <c r="B52" s="3">
        <v>0</v>
      </c>
      <c r="C52" s="4">
        <v>0.87636599999999998</v>
      </c>
      <c r="D52" s="3">
        <v>1.05155</v>
      </c>
      <c r="E52" s="3">
        <v>0.70121199999999995</v>
      </c>
      <c r="F52" s="3">
        <v>1.22664</v>
      </c>
      <c r="G52" s="3">
        <v>1.7518499999999999</v>
      </c>
      <c r="H52" s="3">
        <v>1.9268700000000001</v>
      </c>
      <c r="I52" s="4">
        <f>AVERAGE(wOver[[#This Row],[W1]:[W6]])</f>
        <v>1.2557479999999999</v>
      </c>
      <c r="J52" s="3">
        <f>_xlfn.STDEV.P(wOver[[#This Row],[W1]:[W6]])</f>
        <v>0.4454411501302204</v>
      </c>
    </row>
    <row r="53" spans="1:10" x14ac:dyDescent="0.45">
      <c r="A53" t="s">
        <v>5</v>
      </c>
      <c r="B53">
        <v>0.01</v>
      </c>
      <c r="C53" s="1">
        <v>0.34759800000000002</v>
      </c>
      <c r="D53">
        <v>1.2191700000000001</v>
      </c>
      <c r="E53">
        <v>1.3923300000000001</v>
      </c>
      <c r="F53">
        <v>1.56541</v>
      </c>
      <c r="G53">
        <v>1.7393799999999999</v>
      </c>
      <c r="H53">
        <v>1.9154599999999999</v>
      </c>
      <c r="I53" s="1">
        <f>AVERAGE(wOver[[#This Row],[W1]:[W6]])</f>
        <v>1.3632246666666665</v>
      </c>
      <c r="J53">
        <f>_xlfn.STDEV.P(wOver[[#This Row],[W1]:[W6]])</f>
        <v>0.50669385902688358</v>
      </c>
    </row>
    <row r="54" spans="1:10" x14ac:dyDescent="0.45">
      <c r="A54" t="s">
        <v>5</v>
      </c>
      <c r="B54">
        <v>1.7999999999999999E-2</v>
      </c>
      <c r="C54" s="1">
        <v>0.182389</v>
      </c>
      <c r="D54">
        <v>1.22492</v>
      </c>
      <c r="E54">
        <v>1.3968700000000001</v>
      </c>
      <c r="F54">
        <v>1.57704</v>
      </c>
      <c r="G54">
        <v>1.756</v>
      </c>
      <c r="H54">
        <v>1.92997</v>
      </c>
      <c r="I54" s="1">
        <f>AVERAGE(wOver[[#This Row],[W1]:[W6]])</f>
        <v>1.3445314999999998</v>
      </c>
      <c r="J54">
        <f>_xlfn.STDEV.P(wOver[[#This Row],[W1]:[W6]])</f>
        <v>0.56770388204995048</v>
      </c>
    </row>
    <row r="55" spans="1:10" x14ac:dyDescent="0.45">
      <c r="A55" t="s">
        <v>5</v>
      </c>
      <c r="B55">
        <v>3.1E-2</v>
      </c>
      <c r="C55" s="1">
        <v>0.17455399999999999</v>
      </c>
      <c r="D55">
        <v>1.2313099999999999</v>
      </c>
      <c r="E55">
        <v>1.4034199999999999</v>
      </c>
      <c r="F55">
        <v>1.5795699999999999</v>
      </c>
      <c r="G55">
        <v>1.7576099999999999</v>
      </c>
      <c r="H55">
        <v>1.9246700000000001</v>
      </c>
      <c r="I55" s="1">
        <f>AVERAGE(wOver[[#This Row],[W1]:[W6]])</f>
        <v>1.3451890000000002</v>
      </c>
      <c r="J55">
        <f>_xlfn.STDEV.P(wOver[[#This Row],[W1]:[W6]])</f>
        <v>0.56973229722241747</v>
      </c>
    </row>
    <row r="56" spans="1:10" x14ac:dyDescent="0.45">
      <c r="A56" t="s">
        <v>5</v>
      </c>
      <c r="B56">
        <v>5.6000000000000001E-2</v>
      </c>
      <c r="C56" s="1">
        <v>0.53792399999999996</v>
      </c>
      <c r="D56">
        <v>0.70004699999999997</v>
      </c>
      <c r="E56">
        <v>1.05433</v>
      </c>
      <c r="F56">
        <v>1.5926800000000001</v>
      </c>
      <c r="G56">
        <v>1.7668299999999999</v>
      </c>
      <c r="H56">
        <v>1.94387</v>
      </c>
      <c r="I56" s="1">
        <f>AVERAGE(wOver[[#This Row],[W1]:[W6]])</f>
        <v>1.2659468333333335</v>
      </c>
      <c r="J56">
        <f>_xlfn.STDEV.P(wOver[[#This Row],[W1]:[W6]])</f>
        <v>0.53420655807231721</v>
      </c>
    </row>
    <row r="57" spans="1:10" x14ac:dyDescent="0.45">
      <c r="A57" t="s">
        <v>5</v>
      </c>
      <c r="B57">
        <v>0.1</v>
      </c>
      <c r="C57" s="1">
        <v>0.19345699999999999</v>
      </c>
      <c r="D57">
        <v>1.2512399999999999</v>
      </c>
      <c r="E57">
        <v>1.4183300000000001</v>
      </c>
      <c r="F57">
        <v>1.5423</v>
      </c>
      <c r="G57">
        <v>1.7273700000000001</v>
      </c>
      <c r="H57">
        <v>1.90544</v>
      </c>
      <c r="I57" s="1">
        <f>AVERAGE(wOver[[#This Row],[W1]:[W6]])</f>
        <v>1.3396895000000002</v>
      </c>
      <c r="J57">
        <f>_xlfn.STDEV.P(wOver[[#This Row],[W1]:[W6]])</f>
        <v>0.55366617490257586</v>
      </c>
    </row>
    <row r="58" spans="1:10" x14ac:dyDescent="0.45">
      <c r="A58" t="s">
        <v>5</v>
      </c>
      <c r="B58">
        <v>0.18</v>
      </c>
      <c r="C58" s="1">
        <v>0.1555</v>
      </c>
      <c r="D58">
        <v>0.49660500000000002</v>
      </c>
      <c r="E58">
        <v>1.26922</v>
      </c>
      <c r="F58">
        <v>1.37242</v>
      </c>
      <c r="G58">
        <v>1.75146</v>
      </c>
      <c r="H58">
        <v>1.90754</v>
      </c>
      <c r="I58" s="1">
        <f>AVERAGE(wOver[[#This Row],[W1]:[W6]])</f>
        <v>1.1587908333333334</v>
      </c>
      <c r="J58">
        <f>_xlfn.STDEV.P(wOver[[#This Row],[W1]:[W6]])</f>
        <v>0.63440216628476731</v>
      </c>
    </row>
    <row r="59" spans="1:10" x14ac:dyDescent="0.45">
      <c r="A59" t="s">
        <v>5</v>
      </c>
      <c r="B59">
        <v>0.31</v>
      </c>
      <c r="C59" s="1">
        <v>0.60790100000000002</v>
      </c>
      <c r="D59">
        <v>1.3094699999999999</v>
      </c>
      <c r="E59">
        <v>1.4905999999999999</v>
      </c>
      <c r="F59">
        <v>1.72461</v>
      </c>
      <c r="G59">
        <v>1.1122099999999999</v>
      </c>
      <c r="H59">
        <v>2.2107100000000002</v>
      </c>
      <c r="I59" s="1">
        <f>AVERAGE(wOver[[#This Row],[W1]:[W6]])</f>
        <v>1.4092501666666666</v>
      </c>
      <c r="J59">
        <f>_xlfn.STDEV.P(wOver[[#This Row],[W1]:[W6]])</f>
        <v>0.49812262772347393</v>
      </c>
    </row>
    <row r="60" spans="1:10" x14ac:dyDescent="0.45">
      <c r="A60" t="s">
        <v>5</v>
      </c>
      <c r="B60">
        <v>0.56000000000000005</v>
      </c>
      <c r="C60" s="1">
        <v>0.30473800000000001</v>
      </c>
      <c r="D60">
        <v>1.27139</v>
      </c>
      <c r="E60">
        <v>1.4403900000000001</v>
      </c>
      <c r="F60">
        <v>1.9090800000000001</v>
      </c>
      <c r="G60">
        <v>1.72956</v>
      </c>
      <c r="H60">
        <v>2.01058</v>
      </c>
      <c r="I60" s="1">
        <f>AVERAGE(wOver[[#This Row],[W1]:[W6]])</f>
        <v>1.4442896666666669</v>
      </c>
      <c r="J60">
        <f>_xlfn.STDEV.P(wOver[[#This Row],[W1]:[W6]])</f>
        <v>0.56958778395773946</v>
      </c>
    </row>
    <row r="61" spans="1:10" x14ac:dyDescent="0.45">
      <c r="A61" t="s">
        <v>5</v>
      </c>
      <c r="B61">
        <v>1</v>
      </c>
      <c r="C61" s="1">
        <v>0.17449200000000001</v>
      </c>
      <c r="D61">
        <v>0.26574399999999998</v>
      </c>
      <c r="E61">
        <v>1.2523599999999999</v>
      </c>
      <c r="F61">
        <v>1.58341</v>
      </c>
      <c r="G61">
        <v>3.0449199999999998</v>
      </c>
      <c r="H61">
        <v>3.2680099999999999</v>
      </c>
      <c r="I61" s="1">
        <f>AVERAGE(wOver[[#This Row],[W1]:[W6]])</f>
        <v>1.5981560000000001</v>
      </c>
      <c r="J61">
        <f>_xlfn.STDEV.P(wOver[[#This Row],[W1]:[W6]])</f>
        <v>1.2112990061489084</v>
      </c>
    </row>
    <row r="62" spans="1:10" x14ac:dyDescent="0.45">
      <c r="A62" s="3" t="s">
        <v>6</v>
      </c>
      <c r="B62" s="3">
        <v>0</v>
      </c>
      <c r="C62" s="4">
        <v>0.70064499999999996</v>
      </c>
      <c r="D62" s="3">
        <v>0.35052</v>
      </c>
      <c r="E62" s="3">
        <v>0.175349</v>
      </c>
      <c r="F62" s="3">
        <v>0.52563499999999996</v>
      </c>
      <c r="G62" s="3">
        <v>0.87563199999999997</v>
      </c>
      <c r="H62" s="3">
        <v>1.05064</v>
      </c>
      <c r="I62" s="4">
        <f>AVERAGE(wOver[[#This Row],[W1]:[W6]])</f>
        <v>0.61307016666666658</v>
      </c>
      <c r="J62" s="3">
        <f>_xlfn.STDEV.P(wOver[[#This Row],[W1]:[W6]])</f>
        <v>0.29895728371982994</v>
      </c>
    </row>
    <row r="63" spans="1:10" x14ac:dyDescent="0.45">
      <c r="A63" t="s">
        <v>6</v>
      </c>
      <c r="B63">
        <v>0.01</v>
      </c>
      <c r="C63" s="1">
        <v>0.34745799999999999</v>
      </c>
      <c r="D63">
        <v>0.17230300000000001</v>
      </c>
      <c r="E63">
        <v>0.52454599999999996</v>
      </c>
      <c r="F63">
        <v>0.69952499999999995</v>
      </c>
      <c r="G63">
        <v>0.87462200000000001</v>
      </c>
      <c r="H63">
        <v>1.0476700000000001</v>
      </c>
      <c r="I63" s="1">
        <f>AVERAGE(wOver[[#This Row],[W1]:[W6]])</f>
        <v>0.61102066666666666</v>
      </c>
      <c r="J63">
        <f>_xlfn.STDEV.P(wOver[[#This Row],[W1]:[W6]])</f>
        <v>0.29927625435800215</v>
      </c>
    </row>
    <row r="64" spans="1:10" x14ac:dyDescent="0.45">
      <c r="A64" t="s">
        <v>6</v>
      </c>
      <c r="B64">
        <v>1.7999999999999999E-2</v>
      </c>
      <c r="C64" s="1">
        <v>0.18248200000000001</v>
      </c>
      <c r="D64">
        <v>0.52665600000000001</v>
      </c>
      <c r="E64">
        <v>1.05575</v>
      </c>
      <c r="F64">
        <v>0.34949999999999998</v>
      </c>
      <c r="G64">
        <v>0.70464700000000002</v>
      </c>
      <c r="H64">
        <v>0.87773100000000004</v>
      </c>
      <c r="I64" s="1">
        <f>AVERAGE(wOver[[#This Row],[W1]:[W6]])</f>
        <v>0.61612766666666674</v>
      </c>
      <c r="J64">
        <f>_xlfn.STDEV.P(wOver[[#This Row],[W1]:[W6]])</f>
        <v>0.29907742262312065</v>
      </c>
    </row>
    <row r="65" spans="1:10" x14ac:dyDescent="0.45">
      <c r="A65" t="s">
        <v>6</v>
      </c>
      <c r="B65">
        <v>3.1E-2</v>
      </c>
      <c r="C65" s="1">
        <v>0.52565799999999996</v>
      </c>
      <c r="D65">
        <v>0.87975899999999996</v>
      </c>
      <c r="E65">
        <v>0.17441000000000001</v>
      </c>
      <c r="F65">
        <v>0.35360000000000003</v>
      </c>
      <c r="G65">
        <v>0.70873799999999998</v>
      </c>
      <c r="H65">
        <v>1.0507899999999999</v>
      </c>
      <c r="I65" s="1">
        <f>AVERAGE(wOver[[#This Row],[W1]:[W6]])</f>
        <v>0.61549249999999989</v>
      </c>
      <c r="J65">
        <f>_xlfn.STDEV.P(wOver[[#This Row],[W1]:[W6]])</f>
        <v>0.29978523161075959</v>
      </c>
    </row>
    <row r="66" spans="1:10" x14ac:dyDescent="0.45">
      <c r="A66" t="s">
        <v>6</v>
      </c>
      <c r="B66">
        <v>5.6000000000000001E-2</v>
      </c>
      <c r="C66" s="1">
        <v>0.69967699999999999</v>
      </c>
      <c r="D66">
        <v>0.87171200000000004</v>
      </c>
      <c r="E66">
        <v>1.0537700000000001</v>
      </c>
      <c r="F66">
        <v>0.17745</v>
      </c>
      <c r="G66">
        <v>0.53758700000000004</v>
      </c>
      <c r="H66">
        <v>0.36258200000000002</v>
      </c>
      <c r="I66" s="1">
        <f>AVERAGE(wOver[[#This Row],[W1]:[W6]])</f>
        <v>0.61712966666666669</v>
      </c>
      <c r="J66">
        <f>_xlfn.STDEV.P(wOver[[#This Row],[W1]:[W6]])</f>
        <v>0.29628836378471257</v>
      </c>
    </row>
    <row r="67" spans="1:10" x14ac:dyDescent="0.45">
      <c r="A67" t="s">
        <v>6</v>
      </c>
      <c r="B67">
        <v>0.1</v>
      </c>
      <c r="C67" s="1">
        <v>0.19336900000000001</v>
      </c>
      <c r="D67">
        <v>0.369531</v>
      </c>
      <c r="E67">
        <v>0.56066199999999999</v>
      </c>
      <c r="F67">
        <v>0.75478299999999998</v>
      </c>
      <c r="G67">
        <v>0.91386199999999995</v>
      </c>
      <c r="H67">
        <v>1.09192</v>
      </c>
      <c r="I67" s="1">
        <f>AVERAGE(wOver[[#This Row],[W1]:[W6]])</f>
        <v>0.64735449999999994</v>
      </c>
      <c r="J67">
        <f>_xlfn.STDEV.P(wOver[[#This Row],[W1]:[W6]])</f>
        <v>0.30849363442311639</v>
      </c>
    </row>
    <row r="68" spans="1:10" x14ac:dyDescent="0.45">
      <c r="A68" t="s">
        <v>6</v>
      </c>
      <c r="B68">
        <v>0.18</v>
      </c>
      <c r="C68" s="1">
        <v>0.155527</v>
      </c>
      <c r="D68">
        <v>0.32369300000000001</v>
      </c>
      <c r="E68">
        <v>0.69879500000000005</v>
      </c>
      <c r="F68">
        <v>0.49682799999999999</v>
      </c>
      <c r="G68">
        <v>0.844862</v>
      </c>
      <c r="H68">
        <v>1.03091</v>
      </c>
      <c r="I68" s="1">
        <f>AVERAGE(wOver[[#This Row],[W1]:[W6]])</f>
        <v>0.59176916666666668</v>
      </c>
      <c r="J68">
        <f>_xlfn.STDEV.P(wOver[[#This Row],[W1]:[W6]])</f>
        <v>0.29987249152121132</v>
      </c>
    </row>
    <row r="69" spans="1:10" x14ac:dyDescent="0.45">
      <c r="A69" t="s">
        <v>6</v>
      </c>
      <c r="B69">
        <v>0.31</v>
      </c>
      <c r="C69" s="1">
        <v>0.52384900000000001</v>
      </c>
      <c r="D69">
        <v>0.40653299999999998</v>
      </c>
      <c r="E69">
        <v>0.60761699999999996</v>
      </c>
      <c r="F69">
        <v>0.77469200000000005</v>
      </c>
      <c r="G69">
        <v>0.84474000000000005</v>
      </c>
      <c r="H69">
        <v>1.1117900000000001</v>
      </c>
      <c r="I69" s="1">
        <f>AVERAGE(wOver[[#This Row],[W1]:[W6]])</f>
        <v>0.71153683333333329</v>
      </c>
      <c r="J69">
        <f>_xlfn.STDEV.P(wOver[[#This Row],[W1]:[W6]])</f>
        <v>0.23129622024683474</v>
      </c>
    </row>
    <row r="70" spans="1:10" x14ac:dyDescent="0.45">
      <c r="A70" t="s">
        <v>6</v>
      </c>
      <c r="B70">
        <v>0.56000000000000005</v>
      </c>
      <c r="C70" s="1">
        <v>0.21954599999999999</v>
      </c>
      <c r="D70">
        <v>0.30469800000000002</v>
      </c>
      <c r="E70">
        <v>0.68294299999999997</v>
      </c>
      <c r="F70">
        <v>0.559863</v>
      </c>
      <c r="G70">
        <v>0.89353199999999999</v>
      </c>
      <c r="H70">
        <v>1.0109300000000001</v>
      </c>
      <c r="I70" s="1">
        <f>AVERAGE(wOver[[#This Row],[W1]:[W6]])</f>
        <v>0.61191866666666661</v>
      </c>
      <c r="J70">
        <f>_xlfn.STDEV.P(wOver[[#This Row],[W1]:[W6]])</f>
        <v>0.28711531062488171</v>
      </c>
    </row>
    <row r="71" spans="1:10" x14ac:dyDescent="0.45">
      <c r="A71" t="s">
        <v>6</v>
      </c>
      <c r="B71">
        <v>1</v>
      </c>
      <c r="C71" s="1">
        <v>1.0177499999999999</v>
      </c>
      <c r="D71">
        <v>1.05427</v>
      </c>
      <c r="E71">
        <v>0.73890900000000004</v>
      </c>
      <c r="F71">
        <v>1.18523</v>
      </c>
      <c r="G71">
        <v>1.09531</v>
      </c>
      <c r="H71">
        <v>0.82259199999999999</v>
      </c>
      <c r="I71" s="1">
        <f>AVERAGE(wOver[[#This Row],[W1]:[W6]])</f>
        <v>0.98567683333333334</v>
      </c>
      <c r="J71">
        <f>_xlfn.STDEV.P(wOver[[#This Row],[W1]:[W6]])</f>
        <v>0.15549149736927384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9DDAD-EE7E-4C0C-AFF1-9EB0AC33A1F6}">
  <dimension ref="A1:L71"/>
  <sheetViews>
    <sheetView topLeftCell="I39" workbookViewId="0">
      <selection activeCell="N56" sqref="N56"/>
    </sheetView>
  </sheetViews>
  <sheetFormatPr baseColWidth="10" defaultColWidth="9.06640625" defaultRowHeight="14.25" x14ac:dyDescent="0.45"/>
  <cols>
    <col min="1" max="2" width="11" customWidth="1"/>
    <col min="9" max="9" width="10" customWidth="1"/>
  </cols>
  <sheetData>
    <row r="1" spans="1:12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17</v>
      </c>
      <c r="J1" t="s">
        <v>16</v>
      </c>
      <c r="K1" t="s">
        <v>18</v>
      </c>
      <c r="L1" t="s">
        <v>19</v>
      </c>
    </row>
    <row r="2" spans="1:12" x14ac:dyDescent="0.45">
      <c r="A2" t="str">
        <f>wTask[[#This Row],[Heuristic]]</f>
        <v>FCFS</v>
      </c>
      <c r="B2">
        <f>wTask[[#This Row],[Variance]]</f>
        <v>0</v>
      </c>
      <c r="C2" s="1">
        <f>wOver[[#This Row],[W1]]/wTask[[#This Row],[W1]]</f>
        <v>1.4427749465724148E-3</v>
      </c>
      <c r="D2">
        <f>wOver[[#This Row],[W2]]/wTask[[#This Row],[W2]]</f>
        <v>8.6726642456256189E-3</v>
      </c>
      <c r="E2">
        <f>wOver[[#This Row],[W3]]/wTask[[#This Row],[W3]]</f>
        <v>2.8828303593454482E-3</v>
      </c>
      <c r="F2">
        <f>wOver[[#This Row],[W4]]/wTask[[#This Row],[W4]]</f>
        <v>4.3369739164865629E-3</v>
      </c>
      <c r="G2">
        <f>wOver[[#This Row],[W5]]/wTask[[#This Row],[W5]]</f>
        <v>5.7639810816368497E-3</v>
      </c>
      <c r="H2">
        <f>wOver[[#This Row],[W6]]/wTask[[#This Row],[W6]]</f>
        <v>7.2358219313900466E-3</v>
      </c>
      <c r="I2" s="1">
        <f>AVERAGE(Table3[[#This Row],[W1]:[W6]])</f>
        <v>5.0558410801761567E-3</v>
      </c>
      <c r="J2">
        <f>_xlfn.STDEV.P(Table3[[#This Row],[W1]:[W6]])</f>
        <v>2.4707684722615644E-3</v>
      </c>
      <c r="K2" s="1">
        <f>wTask[[#This Row],[Average]]</f>
        <v>121.37716666666667</v>
      </c>
      <c r="L2">
        <f>wOver[[#This Row],[Mean]]</f>
        <v>0.61319416666666671</v>
      </c>
    </row>
    <row r="3" spans="1:12" x14ac:dyDescent="0.45">
      <c r="A3" t="str">
        <f>wTask[[#This Row],[Heuristic]]</f>
        <v>FCFS</v>
      </c>
      <c r="B3">
        <f>wTask[[#This Row],[Variance]]</f>
        <v>0.01</v>
      </c>
      <c r="C3" s="1">
        <f>wOver[[#This Row],[W1]]/wTask[[#This Row],[W1]]</f>
        <v>2.6657792984932636E-3</v>
      </c>
      <c r="D3">
        <f>wOver[[#This Row],[W2]]/wTask[[#This Row],[W2]]</f>
        <v>4.0161469379005159E-3</v>
      </c>
      <c r="E3">
        <f>wOver[[#This Row],[W3]]/wTask[[#This Row],[W3]]</f>
        <v>1.3249973084790599E-3</v>
      </c>
      <c r="F3">
        <f>wOver[[#This Row],[W4]]/wTask[[#This Row],[W4]]</f>
        <v>5.3846230815412328E-3</v>
      </c>
      <c r="G3">
        <f>wOver[[#This Row],[W5]]/wTask[[#This Row],[W5]]</f>
        <v>8.0975202523035066E-3</v>
      </c>
      <c r="H3">
        <f>wOver[[#This Row],[W6]]/wTask[[#This Row],[W6]]</f>
        <v>6.7440445434985468E-3</v>
      </c>
      <c r="I3" s="1">
        <f>AVERAGE(Table3[[#This Row],[W1]:[W6]])</f>
        <v>4.7055185703693539E-3</v>
      </c>
      <c r="J3">
        <f>_xlfn.STDEV.P(Table3[[#This Row],[W1]:[W6]])</f>
        <v>2.3161080874835112E-3</v>
      </c>
      <c r="K3" s="1">
        <f>wTask[[#This Row],[Average]]</f>
        <v>129.99333333333334</v>
      </c>
      <c r="L3">
        <f>wOver[[#This Row],[Mean]]</f>
        <v>0.61099800000000004</v>
      </c>
    </row>
    <row r="4" spans="1:12" x14ac:dyDescent="0.45">
      <c r="A4" t="str">
        <f>wTask[[#This Row],[Heuristic]]</f>
        <v>FCFS</v>
      </c>
      <c r="B4">
        <f>wTask[[#This Row],[Variance]]</f>
        <v>1.7999999999999999E-2</v>
      </c>
      <c r="C4" s="1">
        <f>wOver[[#This Row],[W1]]/wTask[[#This Row],[W1]]</f>
        <v>1.4044612470548378E-3</v>
      </c>
      <c r="D4">
        <f>wOver[[#This Row],[W2]]/wTask[[#This Row],[W2]]</f>
        <v>6.8085547141704421E-3</v>
      </c>
      <c r="E4">
        <f>wOver[[#This Row],[W3]]/wTask[[#This Row],[W3]]</f>
        <v>2.6728435678107449E-3</v>
      </c>
      <c r="F4">
        <f>wOver[[#This Row],[W4]]/wTask[[#This Row],[W4]]</f>
        <v>4.0663268064727916E-3</v>
      </c>
      <c r="G4">
        <f>wOver[[#This Row],[W5]]/wTask[[#This Row],[W5]]</f>
        <v>8.1606636206909885E-3</v>
      </c>
      <c r="H4">
        <f>wOver[[#This Row],[W6]]/wTask[[#This Row],[W6]]</f>
        <v>5.4281939479847163E-3</v>
      </c>
      <c r="I4" s="1">
        <f>AVERAGE(Table3[[#This Row],[W1]:[W6]])</f>
        <v>4.7568406506974205E-3</v>
      </c>
      <c r="J4">
        <f>_xlfn.STDEV.P(Table3[[#This Row],[W1]:[W6]])</f>
        <v>2.320364825323825E-3</v>
      </c>
      <c r="K4" s="1">
        <f>wTask[[#This Row],[Average]]</f>
        <v>129.68133333333333</v>
      </c>
      <c r="L4">
        <f>wOver[[#This Row],[Mean]]</f>
        <v>0.6159916666666666</v>
      </c>
    </row>
    <row r="5" spans="1:12" x14ac:dyDescent="0.45">
      <c r="A5" t="str">
        <f>wTask[[#This Row],[Heuristic]]</f>
        <v>FCFS</v>
      </c>
      <c r="B5">
        <f>wTask[[#This Row],[Variance]]</f>
        <v>3.1E-2</v>
      </c>
      <c r="C5" s="1">
        <f>wOver[[#This Row],[W1]]/wTask[[#This Row],[W1]]</f>
        <v>2.6635949908829252E-3</v>
      </c>
      <c r="D5">
        <f>wOver[[#This Row],[W2]]/wTask[[#This Row],[W2]]</f>
        <v>3.9592560788212963E-3</v>
      </c>
      <c r="E5">
        <f>wOver[[#This Row],[W3]]/wTask[[#This Row],[W3]]</f>
        <v>1.3062091282950176E-3</v>
      </c>
      <c r="F5">
        <f>wOver[[#This Row],[W4]]/wTask[[#This Row],[W4]]</f>
        <v>5.3309760611486437E-3</v>
      </c>
      <c r="G5">
        <f>wOver[[#This Row],[W5]]/wTask[[#This Row],[W5]]</f>
        <v>7.8905862737145699E-3</v>
      </c>
      <c r="H5">
        <f>wOver[[#This Row],[W6]]/wTask[[#This Row],[W6]]</f>
        <v>6.6217382139039044E-3</v>
      </c>
      <c r="I5" s="1">
        <f>AVERAGE(Table3[[#This Row],[W1]:[W6]])</f>
        <v>4.6287267911277264E-3</v>
      </c>
      <c r="J5">
        <f>_xlfn.STDEV.P(Table3[[#This Row],[W1]:[W6]])</f>
        <v>2.2529252650538493E-3</v>
      </c>
      <c r="K5" s="1">
        <f>wTask[[#This Row],[Average]]</f>
        <v>132.97749999999999</v>
      </c>
      <c r="L5">
        <f>wOver[[#This Row],[Mean]]</f>
        <v>0.61537333333333333</v>
      </c>
    </row>
    <row r="6" spans="1:12" x14ac:dyDescent="0.45">
      <c r="A6" t="str">
        <f>wTask[[#This Row],[Heuristic]]</f>
        <v>FCFS</v>
      </c>
      <c r="B6">
        <f>wTask[[#This Row],[Variance]]</f>
        <v>5.6000000000000001E-2</v>
      </c>
      <c r="C6" s="1">
        <f>wOver[[#This Row],[W1]]/wTask[[#This Row],[W1]]</f>
        <v>1.3407199287019836E-3</v>
      </c>
      <c r="D6">
        <f>wOver[[#This Row],[W2]]/wTask[[#This Row],[W2]]</f>
        <v>2.7245775764269241E-3</v>
      </c>
      <c r="E6">
        <f>wOver[[#This Row],[W3]]/wTask[[#This Row],[W3]]</f>
        <v>4.036864387695357E-3</v>
      </c>
      <c r="F6">
        <f>wOver[[#This Row],[W4]]/wTask[[#This Row],[W4]]</f>
        <v>5.2705727303535791E-3</v>
      </c>
      <c r="G6">
        <f>wOver[[#This Row],[W5]]/wTask[[#This Row],[W5]]</f>
        <v>6.5980961173203369E-3</v>
      </c>
      <c r="H6">
        <f>wOver[[#This Row],[W6]]/wTask[[#This Row],[W6]]</f>
        <v>7.9912203554315525E-3</v>
      </c>
      <c r="I6" s="1">
        <f>AVERAGE(Table3[[#This Row],[W1]:[W6]])</f>
        <v>4.6603418493216227E-3</v>
      </c>
      <c r="J6">
        <f>_xlfn.STDEV.P(Table3[[#This Row],[W1]:[W6]])</f>
        <v>2.2501045203503797E-3</v>
      </c>
      <c r="K6" s="1">
        <f>wTask[[#This Row],[Average]]</f>
        <v>132.59216666666666</v>
      </c>
      <c r="L6">
        <f>wOver[[#This Row],[Mean]]</f>
        <v>0.61729149999999999</v>
      </c>
    </row>
    <row r="7" spans="1:12" x14ac:dyDescent="0.45">
      <c r="A7" t="str">
        <f>wTask[[#This Row],[Heuristic]]</f>
        <v>FCFS</v>
      </c>
      <c r="B7">
        <f>wTask[[#This Row],[Variance]]</f>
        <v>0.1</v>
      </c>
      <c r="C7" s="1">
        <f>wOver[[#This Row],[W1]]/wTask[[#This Row],[W1]]</f>
        <v>1.4538216560509554E-3</v>
      </c>
      <c r="D7">
        <f>wOver[[#This Row],[W2]]/wTask[[#This Row],[W2]]</f>
        <v>2.7667492496425976E-3</v>
      </c>
      <c r="E7">
        <f>wOver[[#This Row],[W3]]/wTask[[#This Row],[W3]]</f>
        <v>5.6496856757970362E-3</v>
      </c>
      <c r="F7">
        <f>wOver[[#This Row],[W4]]/wTask[[#This Row],[W4]]</f>
        <v>4.2034510674022552E-3</v>
      </c>
      <c r="G7">
        <f>wOver[[#This Row],[W5]]/wTask[[#This Row],[W5]]</f>
        <v>8.1745704981846766E-3</v>
      </c>
      <c r="H7">
        <f>wOver[[#This Row],[W6]]/wTask[[#This Row],[W6]]</f>
        <v>6.8382713832525286E-3</v>
      </c>
      <c r="I7" s="1">
        <f>AVERAGE(Table3[[#This Row],[W1]:[W6]])</f>
        <v>4.8477582550550081E-3</v>
      </c>
      <c r="J7">
        <f>_xlfn.STDEV.P(Table3[[#This Row],[W1]:[W6]])</f>
        <v>2.3071427377252388E-3</v>
      </c>
      <c r="K7" s="1">
        <f>wTask[[#This Row],[Average]]</f>
        <v>133.50133333333335</v>
      </c>
      <c r="L7">
        <f>wOver[[#This Row],[Mean]]</f>
        <v>0.64747716666666666</v>
      </c>
    </row>
    <row r="8" spans="1:12" x14ac:dyDescent="0.45">
      <c r="A8" t="str">
        <f>wTask[[#This Row],[Heuristic]]</f>
        <v>FCFS</v>
      </c>
      <c r="B8">
        <f>wTask[[#This Row],[Variance]]</f>
        <v>0.18</v>
      </c>
      <c r="C8" s="1">
        <f>wOver[[#This Row],[W1]]/wTask[[#This Row],[W1]]</f>
        <v>1.1563911564878963E-3</v>
      </c>
      <c r="D8">
        <f>wOver[[#This Row],[W2]]/wTask[[#This Row],[W2]]</f>
        <v>5.1989955730813589E-3</v>
      </c>
      <c r="E8">
        <f>wOver[[#This Row],[W3]]/wTask[[#This Row],[W3]]</f>
        <v>2.4029807520941013E-3</v>
      </c>
      <c r="F8">
        <f>wOver[[#This Row],[W4]]/wTask[[#This Row],[W4]]</f>
        <v>3.6792385749203765E-3</v>
      </c>
      <c r="G8">
        <f>wOver[[#This Row],[W5]]/wTask[[#This Row],[W5]]</f>
        <v>6.3056977802988462E-3</v>
      </c>
      <c r="H8">
        <f>wOver[[#This Row],[W6]]/wTask[[#This Row],[W6]]</f>
        <v>7.7260633314596211E-3</v>
      </c>
      <c r="I8" s="1">
        <f>AVERAGE(Table3[[#This Row],[W1]:[W6]])</f>
        <v>4.4115611947237003E-3</v>
      </c>
      <c r="J8">
        <f>_xlfn.STDEV.P(Table3[[#This Row],[W1]:[W6]])</f>
        <v>2.2494649182742171E-3</v>
      </c>
      <c r="K8" s="1">
        <f>wTask[[#This Row],[Average]]</f>
        <v>134.31116666666665</v>
      </c>
      <c r="L8">
        <f>wOver[[#This Row],[Mean]]</f>
        <v>0.59169950000000004</v>
      </c>
    </row>
    <row r="9" spans="1:12" x14ac:dyDescent="0.45">
      <c r="A9" t="str">
        <f>wTask[[#This Row],[Heuristic]]</f>
        <v>FCFS</v>
      </c>
      <c r="B9">
        <f>wTask[[#This Row],[Variance]]</f>
        <v>0.31</v>
      </c>
      <c r="C9" s="1">
        <f>wOver[[#This Row],[W1]]/wTask[[#This Row],[W1]]</f>
        <v>4.3737672583826432E-3</v>
      </c>
      <c r="D9">
        <f>wOver[[#This Row],[W2]]/wTask[[#This Row],[W2]]</f>
        <v>2.9410271064072976E-3</v>
      </c>
      <c r="E9">
        <f>wOver[[#This Row],[W3]]/wTask[[#This Row],[W3]]</f>
        <v>3.8718269794509137E-3</v>
      </c>
      <c r="F9">
        <f>wOver[[#This Row],[W4]]/wTask[[#This Row],[W4]]</f>
        <v>5.6451833876245234E-3</v>
      </c>
      <c r="G9">
        <f>wOver[[#This Row],[W5]]/wTask[[#This Row],[W5]]</f>
        <v>8.137032428079935E-3</v>
      </c>
      <c r="H9">
        <f>wOver[[#This Row],[W6]]/wTask[[#This Row],[W6]]</f>
        <v>6.1576073087327102E-3</v>
      </c>
      <c r="I9" s="1">
        <f>AVERAGE(Table3[[#This Row],[W1]:[W6]])</f>
        <v>5.1877407447796708E-3</v>
      </c>
      <c r="J9">
        <f>_xlfn.STDEV.P(Table3[[#This Row],[W1]:[W6]])</f>
        <v>1.6975531608631354E-3</v>
      </c>
      <c r="K9" s="1">
        <f>wTask[[#This Row],[Average]]</f>
        <v>137.71533333333332</v>
      </c>
      <c r="L9">
        <f>wOver[[#This Row],[Mean]]</f>
        <v>0.71330550000000004</v>
      </c>
    </row>
    <row r="10" spans="1:12" x14ac:dyDescent="0.45">
      <c r="A10" t="str">
        <f>wTask[[#This Row],[Heuristic]]</f>
        <v>FCFS</v>
      </c>
      <c r="B10">
        <f>wTask[[#This Row],[Variance]]</f>
        <v>0.56000000000000005</v>
      </c>
      <c r="C10" s="1">
        <f>wOver[[#This Row],[W1]]/wTask[[#This Row],[W1]]</f>
        <v>4.3663996245768104E-3</v>
      </c>
      <c r="D10">
        <f>wOver[[#This Row],[W2]]/wTask[[#This Row],[W2]]</f>
        <v>5.8854568334914779E-3</v>
      </c>
      <c r="E10">
        <f>wOver[[#This Row],[W3]]/wTask[[#This Row],[W3]]</f>
        <v>1.4542067722005674E-3</v>
      </c>
      <c r="F10">
        <f>wOver[[#This Row],[W4]]/wTask[[#This Row],[W4]]</f>
        <v>2.036443772656135E-3</v>
      </c>
      <c r="G10">
        <f>wOver[[#This Row],[W5]]/wTask[[#This Row],[W5]]</f>
        <v>3.5526021545692539E-3</v>
      </c>
      <c r="H10">
        <f>wOver[[#This Row],[W6]]/wTask[[#This Row],[W6]]</f>
        <v>6.7593490605791029E-3</v>
      </c>
      <c r="I10" s="1">
        <f>AVERAGE(Table3[[#This Row],[W1]:[W6]])</f>
        <v>4.0090763696788911E-3</v>
      </c>
      <c r="J10">
        <f>_xlfn.STDEV.P(Table3[[#This Row],[W1]:[W6]])</f>
        <v>1.9078561336307843E-3</v>
      </c>
      <c r="K10" s="1">
        <f>wTask[[#This Row],[Average]]</f>
        <v>149.49966666666668</v>
      </c>
      <c r="L10">
        <f>wOver[[#This Row],[Mean]]</f>
        <v>0.59848633333333334</v>
      </c>
    </row>
    <row r="11" spans="1:12" x14ac:dyDescent="0.45">
      <c r="A11" t="str">
        <f>wTask[[#This Row],[Heuristic]]</f>
        <v>FCFS</v>
      </c>
      <c r="B11">
        <f>wTask[[#This Row],[Variance]]</f>
        <v>1</v>
      </c>
      <c r="C11" s="1">
        <f>wOver[[#This Row],[W1]]/wTask[[#This Row],[W1]]</f>
        <v>5.4613222585787402E-3</v>
      </c>
      <c r="D11">
        <f>wOver[[#This Row],[W2]]/wTask[[#This Row],[W2]]</f>
        <v>7.1111499231521595E-3</v>
      </c>
      <c r="E11">
        <f>wOver[[#This Row],[W3]]/wTask[[#This Row],[W3]]</f>
        <v>7.1155900278555423E-3</v>
      </c>
      <c r="F11">
        <f>wOver[[#This Row],[W4]]/wTask[[#This Row],[W4]]</f>
        <v>8.3189884029621353E-3</v>
      </c>
      <c r="G11">
        <f>wOver[[#This Row],[W5]]/wTask[[#This Row],[W5]]</f>
        <v>7.8816058536313946E-3</v>
      </c>
      <c r="H11">
        <f>wOver[[#This Row],[W6]]/wTask[[#This Row],[W6]]</f>
        <v>5.9044942266473074E-3</v>
      </c>
      <c r="I11" s="1">
        <f>AVERAGE(Table3[[#This Row],[W1]:[W6]])</f>
        <v>6.9655251154712135E-3</v>
      </c>
      <c r="J11">
        <f>_xlfn.STDEV.P(Table3[[#This Row],[W1]:[W6]])</f>
        <v>1.0085638001366755E-3</v>
      </c>
      <c r="K11" s="1">
        <f>wTask[[#This Row],[Average]]</f>
        <v>143.49183333333335</v>
      </c>
      <c r="L11">
        <f>wOver[[#This Row],[Mean]]</f>
        <v>0.99935983333333323</v>
      </c>
    </row>
    <row r="12" spans="1:12" x14ac:dyDescent="0.45">
      <c r="A12" s="3" t="str">
        <f>wTask[[#This Row],[Heuristic]]</f>
        <v>LCFS</v>
      </c>
      <c r="B12" s="3">
        <f>wTask[[#This Row],[Variance]]</f>
        <v>0</v>
      </c>
      <c r="C12" s="4">
        <f>wOver[[#This Row],[W1]]/wTask[[#This Row],[W1]]</f>
        <v>1.3738327267034558E-3</v>
      </c>
      <c r="D12" s="3">
        <f>wOver[[#This Row],[W2]]/wTask[[#This Row],[W2]]</f>
        <v>2.7554352523355675E-3</v>
      </c>
      <c r="E12" s="3">
        <f>wOver[[#This Row],[W3]]/wTask[[#This Row],[W3]]</f>
        <v>4.1296158105995741E-3</v>
      </c>
      <c r="F12" s="3">
        <f>wOver[[#This Row],[W4]]/wTask[[#This Row],[W4]]</f>
        <v>5.5076773169466754E-3</v>
      </c>
      <c r="G12" s="3">
        <f>wOver[[#This Row],[W5]]/wTask[[#This Row],[W5]]</f>
        <v>6.8985467291559997E-3</v>
      </c>
      <c r="H12" s="3">
        <f>wOver[[#This Row],[W6]]/wTask[[#This Row],[W6]]</f>
        <v>8.26481899473854E-3</v>
      </c>
      <c r="I12" s="4">
        <f>AVERAGE(Table3[[#This Row],[W1]:[W6]])</f>
        <v>4.8216544717466355E-3</v>
      </c>
      <c r="J12" s="3">
        <f>_xlfn.STDEV.P(Table3[[#This Row],[W1]:[W6]])</f>
        <v>2.3549644329299989E-3</v>
      </c>
      <c r="K12" s="4">
        <f>wTask[[#This Row],[Average]]</f>
        <v>127.28283333333333</v>
      </c>
      <c r="L12" s="3">
        <f>wOver[[#This Row],[Mean]]</f>
        <v>0.61325183333333333</v>
      </c>
    </row>
    <row r="13" spans="1:12" x14ac:dyDescent="0.45">
      <c r="A13" t="str">
        <f>wTask[[#This Row],[Heuristic]]</f>
        <v>LCFS</v>
      </c>
      <c r="B13">
        <f>wTask[[#This Row],[Variance]]</f>
        <v>0.01</v>
      </c>
      <c r="C13" s="1">
        <f>wOver[[#This Row],[W1]]/wTask[[#This Row],[W1]]</f>
        <v>3.9309104803002719E-3</v>
      </c>
      <c r="D13">
        <f>wOver[[#This Row],[W2]]/wTask[[#This Row],[W2]]</f>
        <v>1.285304440486747E-3</v>
      </c>
      <c r="E13">
        <f>wOver[[#This Row],[W3]]/wTask[[#This Row],[W3]]</f>
        <v>2.6011811200431132E-3</v>
      </c>
      <c r="F13">
        <f>wOver[[#This Row],[W4]]/wTask[[#This Row],[W4]]</f>
        <v>5.2386863007853144E-3</v>
      </c>
      <c r="G13">
        <f>wOver[[#This Row],[W5]]/wTask[[#This Row],[W5]]</f>
        <v>7.8280100115805593E-3</v>
      </c>
      <c r="H13">
        <f>wOver[[#This Row],[W6]]/wTask[[#This Row],[W6]]</f>
        <v>6.5600443967812339E-3</v>
      </c>
      <c r="I13" s="1">
        <f>AVERAGE(Table3[[#This Row],[W1]:[W6]])</f>
        <v>4.5740227916628738E-3</v>
      </c>
      <c r="J13">
        <f>_xlfn.STDEV.P(Table3[[#This Row],[W1]:[W6]])</f>
        <v>2.2396375571139375E-3</v>
      </c>
      <c r="K13" s="1">
        <f>wTask[[#This Row],[Average]]</f>
        <v>133.67383333333333</v>
      </c>
      <c r="L13">
        <f>wOver[[#This Row],[Mean]]</f>
        <v>0.61115749999999991</v>
      </c>
    </row>
    <row r="14" spans="1:12" x14ac:dyDescent="0.45">
      <c r="A14" t="str">
        <f>wTask[[#This Row],[Heuristic]]</f>
        <v>LCFS</v>
      </c>
      <c r="B14">
        <f>wTask[[#This Row],[Variance]]</f>
        <v>1.7999999999999999E-2</v>
      </c>
      <c r="C14" s="1">
        <f>wOver[[#This Row],[W1]]/wTask[[#This Row],[W1]]</f>
        <v>3.8894551416986107E-3</v>
      </c>
      <c r="D14">
        <f>wOver[[#This Row],[W2]]/wTask[[#This Row],[W2]]</f>
        <v>6.5184137029444108E-3</v>
      </c>
      <c r="E14">
        <f>wOver[[#This Row],[W3]]/wTask[[#This Row],[W3]]</f>
        <v>1.3463965925783758E-3</v>
      </c>
      <c r="F14">
        <f>wOver[[#This Row],[W4]]/wTask[[#This Row],[W4]]</f>
        <v>2.5908723598271144E-3</v>
      </c>
      <c r="G14">
        <f>wOver[[#This Row],[W5]]/wTask[[#This Row],[W5]]</f>
        <v>5.222545901991742E-3</v>
      </c>
      <c r="H14">
        <f>wOver[[#This Row],[W6]]/wTask[[#This Row],[W6]]</f>
        <v>7.808591062750116E-3</v>
      </c>
      <c r="I14" s="1">
        <f>AVERAGE(Table3[[#This Row],[W1]:[W6]])</f>
        <v>4.562712460298394E-3</v>
      </c>
      <c r="J14">
        <f>_xlfn.STDEV.P(Table3[[#This Row],[W1]:[W6]])</f>
        <v>2.2166788965680305E-3</v>
      </c>
      <c r="K14" s="1">
        <f>wTask[[#This Row],[Average]]</f>
        <v>135.07849999999999</v>
      </c>
      <c r="L14">
        <f>wOver[[#This Row],[Mean]]</f>
        <v>0.61603566666666676</v>
      </c>
    </row>
    <row r="15" spans="1:12" x14ac:dyDescent="0.45">
      <c r="A15" t="str">
        <f>wTask[[#This Row],[Heuristic]]</f>
        <v>LCFS</v>
      </c>
      <c r="B15">
        <f>wTask[[#This Row],[Variance]]</f>
        <v>3.1E-2</v>
      </c>
      <c r="C15" s="1">
        <f>wOver[[#This Row],[W1]]/wTask[[#This Row],[W1]]</f>
        <v>1.2935393466688414E-3</v>
      </c>
      <c r="D15">
        <f>wOver[[#This Row],[W2]]/wTask[[#This Row],[W2]]</f>
        <v>3.9297099282296659E-3</v>
      </c>
      <c r="E15">
        <f>wOver[[#This Row],[W3]]/wTask[[#This Row],[W3]]</f>
        <v>2.6318873163940649E-3</v>
      </c>
      <c r="F15">
        <f>wOver[[#This Row],[W4]]/wTask[[#This Row],[W4]]</f>
        <v>5.2805137909967374E-3</v>
      </c>
      <c r="G15">
        <f>wOver[[#This Row],[W5]]/wTask[[#This Row],[W5]]</f>
        <v>6.6032307218831868E-3</v>
      </c>
      <c r="H15">
        <f>wOver[[#This Row],[W6]]/wTask[[#This Row],[W6]]</f>
        <v>7.9176399668450005E-3</v>
      </c>
      <c r="I15" s="1">
        <f>AVERAGE(Table3[[#This Row],[W1]:[W6]])</f>
        <v>4.6094201785029159E-3</v>
      </c>
      <c r="J15">
        <f>_xlfn.STDEV.P(Table3[[#This Row],[W1]:[W6]])</f>
        <v>2.2633924841401996E-3</v>
      </c>
      <c r="K15" s="1">
        <f>wTask[[#This Row],[Average]]</f>
        <v>133.85166666666666</v>
      </c>
      <c r="L15">
        <f>wOver[[#This Row],[Mean]]</f>
        <v>0.61546833333333328</v>
      </c>
    </row>
    <row r="16" spans="1:12" x14ac:dyDescent="0.45">
      <c r="A16" t="str">
        <f>wTask[[#This Row],[Heuristic]]</f>
        <v>LCFS</v>
      </c>
      <c r="B16">
        <f>wTask[[#This Row],[Variance]]</f>
        <v>5.6000000000000001E-2</v>
      </c>
      <c r="C16" s="1">
        <f>wOver[[#This Row],[W1]]/wTask[[#This Row],[W1]]</f>
        <v>5.22701572244837E-3</v>
      </c>
      <c r="D16">
        <f>wOver[[#This Row],[W2]]/wTask[[#This Row],[W2]]</f>
        <v>1.3158979377010779E-3</v>
      </c>
      <c r="E16">
        <f>wOver[[#This Row],[W3]]/wTask[[#This Row],[W3]]</f>
        <v>2.6908069519272159E-3</v>
      </c>
      <c r="F16">
        <f>wOver[[#This Row],[W4]]/wTask[[#This Row],[W4]]</f>
        <v>3.9971901551361447E-3</v>
      </c>
      <c r="G16">
        <f>wOver[[#This Row],[W5]]/wTask[[#This Row],[W5]]</f>
        <v>6.4816321068244843E-3</v>
      </c>
      <c r="H16">
        <f>wOver[[#This Row],[W6]]/wTask[[#This Row],[W6]]</f>
        <v>7.8989026803381913E-3</v>
      </c>
      <c r="I16" s="1">
        <f>AVERAGE(Table3[[#This Row],[W1]:[W6]])</f>
        <v>4.6019075923959141E-3</v>
      </c>
      <c r="J16">
        <f>_xlfn.STDEV.P(Table3[[#This Row],[W1]:[W6]])</f>
        <v>2.2214915905756677E-3</v>
      </c>
      <c r="K16" s="1">
        <f>wTask[[#This Row],[Average]]</f>
        <v>134.33016666666666</v>
      </c>
      <c r="L16">
        <f>wOver[[#This Row],[Mean]]</f>
        <v>0.61721400000000004</v>
      </c>
    </row>
    <row r="17" spans="1:12" x14ac:dyDescent="0.45">
      <c r="A17" t="str">
        <f>wTask[[#This Row],[Heuristic]]</f>
        <v>LCFS</v>
      </c>
      <c r="B17">
        <f>wTask[[#This Row],[Variance]]</f>
        <v>0.1</v>
      </c>
      <c r="C17" s="1">
        <f>wOver[[#This Row],[W1]]/wTask[[#This Row],[W1]]</f>
        <v>6.8097374815521529E-3</v>
      </c>
      <c r="D17">
        <f>wOver[[#This Row],[W2]]/wTask[[#This Row],[W2]]</f>
        <v>8.1439761283103301E-3</v>
      </c>
      <c r="E17">
        <f>wOver[[#This Row],[W3]]/wTask[[#This Row],[W3]]</f>
        <v>1.4460744728577836E-3</v>
      </c>
      <c r="F17">
        <f>wOver[[#This Row],[W4]]/wTask[[#This Row],[W4]]</f>
        <v>2.7447402828955189E-3</v>
      </c>
      <c r="G17">
        <f>wOver[[#This Row],[W5]]/wTask[[#This Row],[W5]]</f>
        <v>4.1996718830765081E-3</v>
      </c>
      <c r="H17">
        <f>wOver[[#This Row],[W6]]/wTask[[#This Row],[W6]]</f>
        <v>5.6332569440815747E-3</v>
      </c>
      <c r="I17" s="1">
        <f>AVERAGE(Table3[[#This Row],[W1]:[W6]])</f>
        <v>4.8295761987956444E-3</v>
      </c>
      <c r="J17">
        <f>_xlfn.STDEV.P(Table3[[#This Row],[W1]:[W6]])</f>
        <v>2.3001301597754369E-3</v>
      </c>
      <c r="K17" s="1">
        <f>wTask[[#This Row],[Average]]</f>
        <v>134.00199999999998</v>
      </c>
      <c r="L17">
        <f>wOver[[#This Row],[Mean]]</f>
        <v>0.64723800000000009</v>
      </c>
    </row>
    <row r="18" spans="1:12" x14ac:dyDescent="0.45">
      <c r="A18" t="str">
        <f>wTask[[#This Row],[Heuristic]]</f>
        <v>LCFS</v>
      </c>
      <c r="B18">
        <f>wTask[[#This Row],[Variance]]</f>
        <v>0.18</v>
      </c>
      <c r="C18" s="1">
        <f>wOver[[#This Row],[W1]]/wTask[[#This Row],[W1]]</f>
        <v>6.2376043889508306E-3</v>
      </c>
      <c r="D18">
        <f>wOver[[#This Row],[W2]]/wTask[[#This Row],[W2]]</f>
        <v>7.6159972810828378E-3</v>
      </c>
      <c r="E18">
        <f>wOver[[#This Row],[W3]]/wTask[[#This Row],[W3]]</f>
        <v>1.1287747839349262E-3</v>
      </c>
      <c r="F18">
        <f>wOver[[#This Row],[W4]]/wTask[[#This Row],[W4]]</f>
        <v>2.3768157471289707E-3</v>
      </c>
      <c r="G18">
        <f>wOver[[#This Row],[W5]]/wTask[[#This Row],[W5]]</f>
        <v>3.6391364249281823E-3</v>
      </c>
      <c r="H18">
        <f>wOver[[#This Row],[W6]]/wTask[[#This Row],[W6]]</f>
        <v>5.1472332525398382E-3</v>
      </c>
      <c r="I18" s="1">
        <f>AVERAGE(Table3[[#This Row],[W1]:[W6]])</f>
        <v>4.357593646427598E-3</v>
      </c>
      <c r="J18">
        <f>_xlfn.STDEV.P(Table3[[#This Row],[W1]:[W6]])</f>
        <v>2.2226147686205595E-3</v>
      </c>
      <c r="K18" s="1">
        <f>wTask[[#This Row],[Average]]</f>
        <v>136.12716666666665</v>
      </c>
      <c r="L18">
        <f>wOver[[#This Row],[Mean]]</f>
        <v>0.59162250000000005</v>
      </c>
    </row>
    <row r="19" spans="1:12" x14ac:dyDescent="0.45">
      <c r="A19" t="str">
        <f>wTask[[#This Row],[Heuristic]]</f>
        <v>LCFS</v>
      </c>
      <c r="B19">
        <f>wTask[[#This Row],[Variance]]</f>
        <v>0.31</v>
      </c>
      <c r="C19" s="1">
        <f>wOver[[#This Row],[W1]]/wTask[[#This Row],[W1]]</f>
        <v>3.3977993150185819E-3</v>
      </c>
      <c r="D19">
        <f>wOver[[#This Row],[W2]]/wTask[[#This Row],[W2]]</f>
        <v>2.9616096544285899E-3</v>
      </c>
      <c r="E19">
        <f>wOver[[#This Row],[W3]]/wTask[[#This Row],[W3]]</f>
        <v>4.4481213576595307E-3</v>
      </c>
      <c r="F19">
        <f>wOver[[#This Row],[W4]]/wTask[[#This Row],[W4]]</f>
        <v>5.7121217708095192E-3</v>
      </c>
      <c r="G19">
        <f>wOver[[#This Row],[W5]]/wTask[[#This Row],[W5]]</f>
        <v>6.225983120185752E-3</v>
      </c>
      <c r="H19">
        <f>wOver[[#This Row],[W6]]/wTask[[#This Row],[W6]]</f>
        <v>8.1761482734527269E-3</v>
      </c>
      <c r="I19" s="1">
        <f>AVERAGE(Table3[[#This Row],[W1]:[W6]])</f>
        <v>5.1536305819257829E-3</v>
      </c>
      <c r="J19">
        <f>_xlfn.STDEV.P(Table3[[#This Row],[W1]:[W6]])</f>
        <v>1.7787218266649652E-3</v>
      </c>
      <c r="K19" s="1">
        <f>wTask[[#This Row],[Average]]</f>
        <v>136.37816666666666</v>
      </c>
      <c r="L19">
        <f>wOver[[#This Row],[Mean]]</f>
        <v>0.70185233333333319</v>
      </c>
    </row>
    <row r="20" spans="1:12" x14ac:dyDescent="0.45">
      <c r="A20" t="str">
        <f>wTask[[#This Row],[Heuristic]]</f>
        <v>LCFS</v>
      </c>
      <c r="B20">
        <f>wTask[[#This Row],[Variance]]</f>
        <v>0.56000000000000005</v>
      </c>
      <c r="C20" s="1">
        <f>wOver[[#This Row],[W1]]/wTask[[#This Row],[W1]]</f>
        <v>1.4322232446437079E-3</v>
      </c>
      <c r="D20">
        <f>wOver[[#This Row],[W2]]/wTask[[#This Row],[W2]]</f>
        <v>2.0462518221941567E-3</v>
      </c>
      <c r="E20">
        <f>wOver[[#This Row],[W3]]/wTask[[#This Row],[W3]]</f>
        <v>4.4891570409769915E-3</v>
      </c>
      <c r="F20">
        <f>wOver[[#This Row],[W4]]/wTask[[#This Row],[W4]]</f>
        <v>3.5659596482152094E-3</v>
      </c>
      <c r="G20">
        <f>wOver[[#This Row],[W5]]/wTask[[#This Row],[W5]]</f>
        <v>5.9654355838891148E-3</v>
      </c>
      <c r="H20">
        <f>wOver[[#This Row],[W6]]/wTask[[#This Row],[W6]]</f>
        <v>6.8255479479803908E-3</v>
      </c>
      <c r="I20" s="1">
        <f>AVERAGE(Table3[[#This Row],[W1]:[W6]])</f>
        <v>4.054095881316595E-3</v>
      </c>
      <c r="J20">
        <f>_xlfn.STDEV.P(Table3[[#This Row],[W1]:[W6]])</f>
        <v>1.9436810051996615E-3</v>
      </c>
      <c r="K20" s="1">
        <f>wTask[[#This Row],[Average]]</f>
        <v>149.94600000000003</v>
      </c>
      <c r="L20">
        <f>wOver[[#This Row],[Mean]]</f>
        <v>0.60600233333333331</v>
      </c>
    </row>
    <row r="21" spans="1:12" x14ac:dyDescent="0.45">
      <c r="A21" t="str">
        <f>wTask[[#This Row],[Heuristic]]</f>
        <v>LCFS</v>
      </c>
      <c r="B21">
        <f>wTask[[#This Row],[Variance]]</f>
        <v>1</v>
      </c>
      <c r="C21" s="1">
        <f>wOver[[#This Row],[W1]]/wTask[[#This Row],[W1]]</f>
        <v>5.5190295815295814E-3</v>
      </c>
      <c r="D21">
        <f>wOver[[#This Row],[W2]]/wTask[[#This Row],[W2]]</f>
        <v>7.084461458152079E-3</v>
      </c>
      <c r="E21">
        <f>wOver[[#This Row],[W3]]/wTask[[#This Row],[W3]]</f>
        <v>7.02401739307674E-3</v>
      </c>
      <c r="F21">
        <f>wOver[[#This Row],[W4]]/wTask[[#This Row],[W4]]</f>
        <v>8.2415983338045944E-3</v>
      </c>
      <c r="G21">
        <f>wOver[[#This Row],[W5]]/wTask[[#This Row],[W5]]</f>
        <v>7.8846100854229814E-3</v>
      </c>
      <c r="H21">
        <f>wOver[[#This Row],[W6]]/wTask[[#This Row],[W6]]</f>
        <v>5.9985623502448165E-3</v>
      </c>
      <c r="I21" s="1">
        <f>AVERAGE(Table3[[#This Row],[W1]:[W6]])</f>
        <v>6.9587132003717982E-3</v>
      </c>
      <c r="J21">
        <f>_xlfn.STDEV.P(Table3[[#This Row],[W1]:[W6]])</f>
        <v>9.589695117340083E-4</v>
      </c>
      <c r="K21" s="1">
        <f>wTask[[#This Row],[Average]]</f>
        <v>144.85833333333332</v>
      </c>
      <c r="L21">
        <f>wOver[[#This Row],[Mean]]</f>
        <v>1.0084163333333334</v>
      </c>
    </row>
    <row r="22" spans="1:12" x14ac:dyDescent="0.45">
      <c r="A22" s="3" t="str">
        <f>wTask[[#This Row],[Heuristic]]</f>
        <v>SJF</v>
      </c>
      <c r="B22" s="3">
        <f>wTask[[#This Row],[Variance]]</f>
        <v>0</v>
      </c>
      <c r="C22" s="4">
        <f>wOver[[#This Row],[W1]]/wTask[[#This Row],[W1]]</f>
        <v>4.1512297185267062E-3</v>
      </c>
      <c r="D22" s="3">
        <f>wOver[[#This Row],[W2]]/wTask[[#This Row],[W2]]</f>
        <v>2.7379450835922012E-3</v>
      </c>
      <c r="E22" s="3">
        <f>wOver[[#This Row],[W3]]/wTask[[#This Row],[W3]]</f>
        <v>1.3715490977267402E-3</v>
      </c>
      <c r="F22" s="3">
        <f>wOver[[#This Row],[W4]]/wTask[[#This Row],[W4]]</f>
        <v>5.5264710056931983E-3</v>
      </c>
      <c r="G22" s="3">
        <f>wOver[[#This Row],[W5]]/wTask[[#This Row],[W5]]</f>
        <v>8.2828274867397522E-3</v>
      </c>
      <c r="H22" s="3">
        <f>wOver[[#This Row],[W6]]/wTask[[#This Row],[W6]]</f>
        <v>6.8782401118187026E-3</v>
      </c>
      <c r="I22" s="4">
        <f>AVERAGE(Table3[[#This Row],[W1]:[W6]])</f>
        <v>4.8247104173495502E-3</v>
      </c>
      <c r="J22" s="3">
        <f>_xlfn.STDEV.P(Table3[[#This Row],[W1]:[W6]])</f>
        <v>2.3593966285268908E-3</v>
      </c>
      <c r="K22" s="4">
        <f>wTask[[#This Row],[Average]]</f>
        <v>127.30616666666668</v>
      </c>
      <c r="L22" s="3">
        <f>wOver[[#This Row],[Mean]]</f>
        <v>0.61331333333333338</v>
      </c>
    </row>
    <row r="23" spans="1:12" x14ac:dyDescent="0.45">
      <c r="A23" t="str">
        <f>wTask[[#This Row],[Heuristic]]</f>
        <v>SJF</v>
      </c>
      <c r="B23">
        <f>wTask[[#This Row],[Variance]]</f>
        <v>0.01</v>
      </c>
      <c r="C23" s="1">
        <f>wOver[[#This Row],[W1]]/wTask[[#This Row],[W1]]</f>
        <v>1.3081779118322432E-3</v>
      </c>
      <c r="D23">
        <f>wOver[[#This Row],[W2]]/wTask[[#This Row],[W2]]</f>
        <v>3.9976615403365251E-3</v>
      </c>
      <c r="E23">
        <f>wOver[[#This Row],[W3]]/wTask[[#This Row],[W3]]</f>
        <v>2.6276357043024967E-3</v>
      </c>
      <c r="F23">
        <f>wOver[[#This Row],[W4]]/wTask[[#This Row],[W4]]</f>
        <v>5.2884509298652621E-3</v>
      </c>
      <c r="G23">
        <f>wOver[[#This Row],[W5]]/wTask[[#This Row],[W5]]</f>
        <v>6.6336980505448005E-3</v>
      </c>
      <c r="H23">
        <f>wOver[[#This Row],[W6]]/wTask[[#This Row],[W6]]</f>
        <v>8.0170145051716747E-3</v>
      </c>
      <c r="I23" s="1">
        <f>AVERAGE(Table3[[#This Row],[W1]:[W6]])</f>
        <v>4.6454397736755007E-3</v>
      </c>
      <c r="J23">
        <f>_xlfn.STDEV.P(Table3[[#This Row],[W1]:[W6]])</f>
        <v>2.2862858208991432E-3</v>
      </c>
      <c r="K23" s="1">
        <f>wTask[[#This Row],[Average]]</f>
        <v>131.75450000000001</v>
      </c>
      <c r="L23">
        <f>wOver[[#This Row],[Mean]]</f>
        <v>0.61131133333333332</v>
      </c>
    </row>
    <row r="24" spans="1:12" x14ac:dyDescent="0.45">
      <c r="A24" t="str">
        <f>wTask[[#This Row],[Heuristic]]</f>
        <v>SJF</v>
      </c>
      <c r="B24">
        <f>wTask[[#This Row],[Variance]]</f>
        <v>1.7999999999999999E-2</v>
      </c>
      <c r="C24" s="1">
        <f>wOver[[#This Row],[W1]]/wTask[[#This Row],[W1]]</f>
        <v>1.3442754439023674E-3</v>
      </c>
      <c r="D24">
        <f>wOver[[#This Row],[W2]]/wTask[[#This Row],[W2]]</f>
        <v>7.8606568968212012E-3</v>
      </c>
      <c r="E24">
        <f>wOver[[#This Row],[W3]]/wTask[[#This Row],[W3]]</f>
        <v>2.5725084192414595E-3</v>
      </c>
      <c r="F24">
        <f>wOver[[#This Row],[W4]]/wTask[[#This Row],[W4]]</f>
        <v>3.9106546550112054E-3</v>
      </c>
      <c r="G24">
        <f>wOver[[#This Row],[W5]]/wTask[[#This Row],[W5]]</f>
        <v>5.238667013411598E-3</v>
      </c>
      <c r="H24">
        <f>wOver[[#This Row],[W6]]/wTask[[#This Row],[W6]]</f>
        <v>6.5092066833701513E-3</v>
      </c>
      <c r="I24" s="1">
        <f>AVERAGE(Table3[[#This Row],[W1]:[W6]])</f>
        <v>4.5726615186263307E-3</v>
      </c>
      <c r="J24">
        <f>_xlfn.STDEV.P(Table3[[#This Row],[W1]:[W6]])</f>
        <v>2.2310694840939581E-3</v>
      </c>
      <c r="K24" s="1">
        <f>wTask[[#This Row],[Average]]</f>
        <v>135.08316666666667</v>
      </c>
      <c r="L24">
        <f>wOver[[#This Row],[Mean]]</f>
        <v>0.61647200000000002</v>
      </c>
    </row>
    <row r="25" spans="1:12" x14ac:dyDescent="0.45">
      <c r="A25" t="str">
        <f>wTask[[#This Row],[Heuristic]]</f>
        <v>SJF</v>
      </c>
      <c r="B25">
        <f>wTask[[#This Row],[Variance]]</f>
        <v>3.1E-2</v>
      </c>
      <c r="C25" s="1">
        <f>wOver[[#This Row],[W1]]/wTask[[#This Row],[W1]]</f>
        <v>2.6368603481048041E-3</v>
      </c>
      <c r="D25">
        <f>wOver[[#This Row],[W2]]/wTask[[#This Row],[W2]]</f>
        <v>3.9271714123517284E-3</v>
      </c>
      <c r="E25">
        <f>wOver[[#This Row],[W3]]/wTask[[#This Row],[W3]]</f>
        <v>1.3013464750089468E-3</v>
      </c>
      <c r="F25">
        <f>wOver[[#This Row],[W4]]/wTask[[#This Row],[W4]]</f>
        <v>5.256126587722355E-3</v>
      </c>
      <c r="G25">
        <f>wOver[[#This Row],[W5]]/wTask[[#This Row],[W5]]</f>
        <v>7.868257106059243E-3</v>
      </c>
      <c r="H25">
        <f>wOver[[#This Row],[W6]]/wTask[[#This Row],[W6]]</f>
        <v>6.5921771383612446E-3</v>
      </c>
      <c r="I25" s="1">
        <f>AVERAGE(Table3[[#This Row],[W1]:[W6]])</f>
        <v>4.5969898446013872E-3</v>
      </c>
      <c r="J25">
        <f>_xlfn.STDEV.P(Table3[[#This Row],[W1]:[W6]])</f>
        <v>2.2460503361068748E-3</v>
      </c>
      <c r="K25" s="1">
        <f>wTask[[#This Row],[Average]]</f>
        <v>134.00416666666666</v>
      </c>
      <c r="L25">
        <f>wOver[[#This Row],[Mean]]</f>
        <v>0.61557583333333332</v>
      </c>
    </row>
    <row r="26" spans="1:12" x14ac:dyDescent="0.45">
      <c r="A26" t="str">
        <f>wTask[[#This Row],[Heuristic]]</f>
        <v>SJF</v>
      </c>
      <c r="B26">
        <f>wTask[[#This Row],[Variance]]</f>
        <v>5.6000000000000001E-2</v>
      </c>
      <c r="C26" s="1">
        <f>wOver[[#This Row],[W1]]/wTask[[#This Row],[W1]]</f>
        <v>5.2290944411237297E-3</v>
      </c>
      <c r="D26">
        <f>wOver[[#This Row],[W2]]/wTask[[#This Row],[W2]]</f>
        <v>1.3342044592635981E-3</v>
      </c>
      <c r="E26">
        <f>wOver[[#This Row],[W3]]/wTask[[#This Row],[W3]]</f>
        <v>2.6984948924551186E-3</v>
      </c>
      <c r="F26">
        <f>wOver[[#This Row],[W4]]/wTask[[#This Row],[W4]]</f>
        <v>4.0288498996134368E-3</v>
      </c>
      <c r="G26">
        <f>wOver[[#This Row],[W5]]/wTask[[#This Row],[W5]]</f>
        <v>6.50499496400194E-3</v>
      </c>
      <c r="H26">
        <f>wOver[[#This Row],[W6]]/wTask[[#This Row],[W6]]</f>
        <v>7.9129905917510752E-3</v>
      </c>
      <c r="I26" s="1">
        <f>AVERAGE(Table3[[#This Row],[W1]:[W6]])</f>
        <v>4.6181048747014827E-3</v>
      </c>
      <c r="J26">
        <f>_xlfn.STDEV.P(Table3[[#This Row],[W1]:[W6]])</f>
        <v>2.221338192618493E-3</v>
      </c>
      <c r="K26" s="1">
        <f>wTask[[#This Row],[Average]]</f>
        <v>133.685</v>
      </c>
      <c r="L26">
        <f>wOver[[#This Row],[Mean]]</f>
        <v>0.61729533333333331</v>
      </c>
    </row>
    <row r="27" spans="1:12" x14ac:dyDescent="0.45">
      <c r="A27" t="str">
        <f>wTask[[#This Row],[Heuristic]]</f>
        <v>SJF</v>
      </c>
      <c r="B27">
        <f>wTask[[#This Row],[Variance]]</f>
        <v>0.1</v>
      </c>
      <c r="C27" s="1">
        <f>wOver[[#This Row],[W1]]/wTask[[#This Row],[W1]]</f>
        <v>1.4163808799549566E-3</v>
      </c>
      <c r="D27">
        <f>wOver[[#This Row],[W2]]/wTask[[#This Row],[W2]]</f>
        <v>2.7299662503969457E-3</v>
      </c>
      <c r="E27">
        <f>wOver[[#This Row],[W3]]/wTask[[#This Row],[W3]]</f>
        <v>4.1278907158523838E-3</v>
      </c>
      <c r="F27">
        <f>wOver[[#This Row],[W4]]/wTask[[#This Row],[W4]]</f>
        <v>5.5742671490807061E-3</v>
      </c>
      <c r="G27">
        <f>wOver[[#This Row],[W5]]/wTask[[#This Row],[W5]]</f>
        <v>6.7642783123612145E-3</v>
      </c>
      <c r="H27">
        <f>wOver[[#This Row],[W6]]/wTask[[#This Row],[W6]]</f>
        <v>8.1005831120079513E-3</v>
      </c>
      <c r="I27" s="1">
        <f>AVERAGE(Table3[[#This Row],[W1]:[W6]])</f>
        <v>4.7855610699423607E-3</v>
      </c>
      <c r="J27">
        <f>_xlfn.STDEV.P(Table3[[#This Row],[W1]:[W6]])</f>
        <v>2.2926013555744362E-3</v>
      </c>
      <c r="K27" s="1">
        <f>wTask[[#This Row],[Average]]</f>
        <v>135.55933333333334</v>
      </c>
      <c r="L27">
        <f>wOver[[#This Row],[Mean]]</f>
        <v>0.64748149999999993</v>
      </c>
    </row>
    <row r="28" spans="1:12" x14ac:dyDescent="0.45">
      <c r="A28" t="str">
        <f>wTask[[#This Row],[Heuristic]]</f>
        <v>SJF</v>
      </c>
      <c r="B28">
        <f>wTask[[#This Row],[Variance]]</f>
        <v>0.18</v>
      </c>
      <c r="C28" s="1">
        <f>wOver[[#This Row],[W1]]/wTask[[#This Row],[W1]]</f>
        <v>1.1361367351704812E-3</v>
      </c>
      <c r="D28">
        <f>wOver[[#This Row],[W2]]/wTask[[#This Row],[W2]]</f>
        <v>5.1560990004057387E-3</v>
      </c>
      <c r="E28">
        <f>wOver[[#This Row],[W3]]/wTask[[#This Row],[W3]]</f>
        <v>2.3799239946193482E-3</v>
      </c>
      <c r="F28">
        <f>wOver[[#This Row],[W4]]/wTask[[#This Row],[W4]]</f>
        <v>3.6284500131429074E-3</v>
      </c>
      <c r="G28">
        <f>wOver[[#This Row],[W5]]/wTask[[#This Row],[W5]]</f>
        <v>6.2680379488624987E-3</v>
      </c>
      <c r="H28">
        <f>wOver[[#This Row],[W6]]/wTask[[#This Row],[W6]]</f>
        <v>7.6157434746663508E-3</v>
      </c>
      <c r="I28" s="1">
        <f>AVERAGE(Table3[[#This Row],[W1]:[W6]])</f>
        <v>4.3640651944778881E-3</v>
      </c>
      <c r="J28">
        <f>_xlfn.STDEV.P(Table3[[#This Row],[W1]:[W6]])</f>
        <v>2.2257324476605491E-3</v>
      </c>
      <c r="K28" s="1">
        <f>wTask[[#This Row],[Average]]</f>
        <v>135.97716666666665</v>
      </c>
      <c r="L28">
        <f>wOver[[#This Row],[Mean]]</f>
        <v>0.59200933333333339</v>
      </c>
    </row>
    <row r="29" spans="1:12" x14ac:dyDescent="0.45">
      <c r="A29" t="str">
        <f>wTask[[#This Row],[Heuristic]]</f>
        <v>SJF</v>
      </c>
      <c r="B29">
        <f>wTask[[#This Row],[Variance]]</f>
        <v>0.31</v>
      </c>
      <c r="C29" s="1">
        <f>wOver[[#This Row],[W1]]/wTask[[#This Row],[W1]]</f>
        <v>3.4979786580575118E-3</v>
      </c>
      <c r="D29">
        <f>wOver[[#This Row],[W2]]/wTask[[#This Row],[W2]]</f>
        <v>2.9461969830896525E-3</v>
      </c>
      <c r="E29">
        <f>wOver[[#This Row],[W3]]/wTask[[#This Row],[W3]]</f>
        <v>4.3343506877839026E-3</v>
      </c>
      <c r="F29">
        <f>wOver[[#This Row],[W4]]/wTask[[#This Row],[W4]]</f>
        <v>5.5284480913307165E-3</v>
      </c>
      <c r="G29">
        <f>wOver[[#This Row],[W5]]/wTask[[#This Row],[W5]]</f>
        <v>6.120968852114563E-3</v>
      </c>
      <c r="H29">
        <f>wOver[[#This Row],[W6]]/wTask[[#This Row],[W6]]</f>
        <v>8.0777809260187579E-3</v>
      </c>
      <c r="I29" s="1">
        <f>AVERAGE(Table3[[#This Row],[W1]:[W6]])</f>
        <v>5.0842873663991843E-3</v>
      </c>
      <c r="J29">
        <f>_xlfn.STDEV.P(Table3[[#This Row],[W1]:[W6]])</f>
        <v>1.7264222045980169E-3</v>
      </c>
      <c r="K29" s="1">
        <f>wTask[[#This Row],[Average]]</f>
        <v>139.01216666666667</v>
      </c>
      <c r="L29">
        <f>wOver[[#This Row],[Mean]]</f>
        <v>0.70594483333333324</v>
      </c>
    </row>
    <row r="30" spans="1:12" x14ac:dyDescent="0.45">
      <c r="A30" t="str">
        <f>wTask[[#This Row],[Heuristic]]</f>
        <v>SJF</v>
      </c>
      <c r="B30">
        <f>wTask[[#This Row],[Variance]]</f>
        <v>0.56000000000000005</v>
      </c>
      <c r="C30" s="1">
        <f>wOver[[#This Row],[W1]]/wTask[[#This Row],[W1]]</f>
        <v>6.9418865747893624E-3</v>
      </c>
      <c r="D30">
        <f>wOver[[#This Row],[W2]]/wTask[[#This Row],[W2]]</f>
        <v>2.0938758677572344E-3</v>
      </c>
      <c r="E30">
        <f>wOver[[#This Row],[W3]]/wTask[[#This Row],[W3]]</f>
        <v>1.4664819019634032E-3</v>
      </c>
      <c r="F30">
        <f>wOver[[#This Row],[W4]]/wTask[[#This Row],[W4]]</f>
        <v>4.2127261676562716E-3</v>
      </c>
      <c r="G30">
        <f>wOver[[#This Row],[W5]]/wTask[[#This Row],[W5]]</f>
        <v>3.5968438099239072E-3</v>
      </c>
      <c r="H30">
        <f>wOver[[#This Row],[W6]]/wTask[[#This Row],[W6]]</f>
        <v>5.9372063686884179E-3</v>
      </c>
      <c r="I30" s="1">
        <f>AVERAGE(Table3[[#This Row],[W1]:[W6]])</f>
        <v>4.0415034484630992E-3</v>
      </c>
      <c r="J30">
        <f>_xlfn.STDEV.P(Table3[[#This Row],[W1]:[W6]])</f>
        <v>1.943233577185481E-3</v>
      </c>
      <c r="K30" s="1">
        <f>wTask[[#This Row],[Average]]</f>
        <v>147.47</v>
      </c>
      <c r="L30">
        <f>wOver[[#This Row],[Mean]]</f>
        <v>0.59457749999999998</v>
      </c>
    </row>
    <row r="31" spans="1:12" x14ac:dyDescent="0.45">
      <c r="A31" t="str">
        <f>wTask[[#This Row],[Heuristic]]</f>
        <v>SJF</v>
      </c>
      <c r="B31">
        <f>wTask[[#This Row],[Variance]]</f>
        <v>1</v>
      </c>
      <c r="C31" s="1">
        <f>wOver[[#This Row],[W1]]/wTask[[#This Row],[W1]]</f>
        <v>7.0250323366050369E-3</v>
      </c>
      <c r="D31">
        <f>wOver[[#This Row],[W2]]/wTask[[#This Row],[W2]]</f>
        <v>7.4515037900399379E-3</v>
      </c>
      <c r="E31">
        <f>wOver[[#This Row],[W3]]/wTask[[#This Row],[W3]]</f>
        <v>4.8521758220648878E-3</v>
      </c>
      <c r="F31">
        <f>wOver[[#This Row],[W4]]/wTask[[#This Row],[W4]]</f>
        <v>8.0356421820570907E-3</v>
      </c>
      <c r="G31">
        <f>wOver[[#This Row],[W5]]/wTask[[#This Row],[W5]]</f>
        <v>7.092910642745167E-3</v>
      </c>
      <c r="H31">
        <f>wOver[[#This Row],[W6]]/wTask[[#This Row],[W6]]</f>
        <v>5.4938989362070274E-3</v>
      </c>
      <c r="I31" s="1">
        <f>AVERAGE(Table3[[#This Row],[W1]:[W6]])</f>
        <v>6.6585272849531904E-3</v>
      </c>
      <c r="J31">
        <f>_xlfn.STDEV.P(Table3[[#This Row],[W1]:[W6]])</f>
        <v>1.1156117029116029E-3</v>
      </c>
      <c r="K31" s="1">
        <f>wTask[[#This Row],[Average]]</f>
        <v>145.28150000000002</v>
      </c>
      <c r="L31">
        <f>wOver[[#This Row],[Mean]]</f>
        <v>0.96765050000000008</v>
      </c>
    </row>
    <row r="32" spans="1:12" x14ac:dyDescent="0.45">
      <c r="A32" s="3" t="str">
        <f>wTask[[#This Row],[Heuristic]]</f>
        <v>LJF</v>
      </c>
      <c r="B32" s="3">
        <f>wTask[[#This Row],[Variance]]</f>
        <v>0</v>
      </c>
      <c r="C32" s="4">
        <f>wOver[[#This Row],[W1]]/wTask[[#This Row],[W1]]</f>
        <v>5.5558242803901356E-3</v>
      </c>
      <c r="D32" s="3">
        <f>wOver[[#This Row],[W2]]/wTask[[#This Row],[W2]]</f>
        <v>8.2852366985208311E-3</v>
      </c>
      <c r="E32" s="3">
        <f>wOver[[#This Row],[W3]]/wTask[[#This Row],[W3]]</f>
        <v>1.3821230458900655E-3</v>
      </c>
      <c r="F32" s="3">
        <f>wOver[[#This Row],[W4]]/wTask[[#This Row],[W4]]</f>
        <v>2.7690691520872003E-3</v>
      </c>
      <c r="G32" s="3">
        <f>wOver[[#This Row],[W5]]/wTask[[#This Row],[W5]]</f>
        <v>4.1476793914813704E-3</v>
      </c>
      <c r="H32" s="3">
        <f>wOver[[#This Row],[W6]]/wTask[[#This Row],[W6]]</f>
        <v>6.8917551328763786E-3</v>
      </c>
      <c r="I32" s="4">
        <f>AVERAGE(Table3[[#This Row],[W1]:[W6]])</f>
        <v>4.83861461687433E-3</v>
      </c>
      <c r="J32" s="3">
        <f>_xlfn.STDEV.P(Table3[[#This Row],[W1]:[W6]])</f>
        <v>2.3564352792009779E-3</v>
      </c>
      <c r="K32" s="4">
        <f>wTask[[#This Row],[Average]]</f>
        <v>126.71033333333334</v>
      </c>
      <c r="L32" s="3">
        <f>wOver[[#This Row],[Mean]]</f>
        <v>0.61313983333333333</v>
      </c>
    </row>
    <row r="33" spans="1:12" x14ac:dyDescent="0.45">
      <c r="A33" t="str">
        <f>wTask[[#This Row],[Heuristic]]</f>
        <v>LJF</v>
      </c>
      <c r="B33">
        <f>wTask[[#This Row],[Variance]]</f>
        <v>0.01</v>
      </c>
      <c r="C33" s="1">
        <f>wOver[[#This Row],[W1]]/wTask[[#This Row],[W1]]</f>
        <v>1.3049190737898866E-3</v>
      </c>
      <c r="D33">
        <f>wOver[[#This Row],[W2]]/wTask[[#This Row],[W2]]</f>
        <v>2.6165539142278781E-3</v>
      </c>
      <c r="E33">
        <f>wOver[[#This Row],[W3]]/wTask[[#This Row],[W3]]</f>
        <v>3.9625692672394268E-3</v>
      </c>
      <c r="F33">
        <f>wOver[[#This Row],[W4]]/wTask[[#This Row],[W4]]</f>
        <v>5.2912423163290773E-3</v>
      </c>
      <c r="G33">
        <f>wOver[[#This Row],[W5]]/wTask[[#This Row],[W5]]</f>
        <v>6.6496496268259675E-3</v>
      </c>
      <c r="H33">
        <f>wOver[[#This Row],[W6]]/wTask[[#This Row],[W6]]</f>
        <v>7.9560569710589446E-3</v>
      </c>
      <c r="I33" s="1">
        <f>AVERAGE(Table3[[#This Row],[W1]:[W6]])</f>
        <v>4.6301651949118639E-3</v>
      </c>
      <c r="J33">
        <f>_xlfn.STDEV.P(Table3[[#This Row],[W1]:[W6]])</f>
        <v>2.2779549642982723E-3</v>
      </c>
      <c r="K33" s="1">
        <f>wTask[[#This Row],[Average]]</f>
        <v>132.19616666666667</v>
      </c>
      <c r="L33">
        <f>wOver[[#This Row],[Mean]]</f>
        <v>0.61131366666666664</v>
      </c>
    </row>
    <row r="34" spans="1:12" x14ac:dyDescent="0.45">
      <c r="A34" t="str">
        <f>wTask[[#This Row],[Heuristic]]</f>
        <v>LJF</v>
      </c>
      <c r="B34">
        <f>wTask[[#This Row],[Variance]]</f>
        <v>1.7999999999999999E-2</v>
      </c>
      <c r="C34" s="1">
        <f>wOver[[#This Row],[W1]]/wTask[[#This Row],[W1]]</f>
        <v>1.384708121346304E-3</v>
      </c>
      <c r="D34">
        <f>wOver[[#This Row],[W2]]/wTask[[#This Row],[W2]]</f>
        <v>5.3450367326514986E-3</v>
      </c>
      <c r="E34">
        <f>wOver[[#This Row],[W3]]/wTask[[#This Row],[W3]]</f>
        <v>2.6575778525682416E-3</v>
      </c>
      <c r="F34">
        <f>wOver[[#This Row],[W4]]/wTask[[#This Row],[W4]]</f>
        <v>3.9873638014527851E-3</v>
      </c>
      <c r="G34">
        <f>wOver[[#This Row],[W5]]/wTask[[#This Row],[W5]]</f>
        <v>6.6504210972765003E-3</v>
      </c>
      <c r="H34">
        <f>wOver[[#This Row],[W6]]/wTask[[#This Row],[W6]]</f>
        <v>8.0144330366289512E-3</v>
      </c>
      <c r="I34" s="1">
        <f>AVERAGE(Table3[[#This Row],[W1]:[W6]])</f>
        <v>4.6732567736540468E-3</v>
      </c>
      <c r="J34">
        <f>_xlfn.STDEV.P(Table3[[#This Row],[W1]:[W6]])</f>
        <v>2.2683286364267863E-3</v>
      </c>
      <c r="K34" s="1">
        <f>wTask[[#This Row],[Average]]</f>
        <v>131.89833333333331</v>
      </c>
      <c r="L34">
        <f>wOver[[#This Row],[Mean]]</f>
        <v>0.61644233333333343</v>
      </c>
    </row>
    <row r="35" spans="1:12" x14ac:dyDescent="0.45">
      <c r="A35" t="str">
        <f>wTask[[#This Row],[Heuristic]]</f>
        <v>LJF</v>
      </c>
      <c r="B35">
        <f>wTask[[#This Row],[Variance]]</f>
        <v>3.1E-2</v>
      </c>
      <c r="C35" s="1">
        <f>wOver[[#This Row],[W1]]/wTask[[#This Row],[W1]]</f>
        <v>1.2926237451637483E-3</v>
      </c>
      <c r="D35">
        <f>wOver[[#This Row],[W2]]/wTask[[#This Row],[W2]]</f>
        <v>2.6066262042956892E-3</v>
      </c>
      <c r="E35">
        <f>wOver[[#This Row],[W3]]/wTask[[#This Row],[W3]]</f>
        <v>7.8137684930488435E-3</v>
      </c>
      <c r="F35">
        <f>wOver[[#This Row],[W4]]/wTask[[#This Row],[W4]]</f>
        <v>6.5347735357240986E-3</v>
      </c>
      <c r="G35">
        <f>wOver[[#This Row],[W5]]/wTask[[#This Row],[W5]]</f>
        <v>3.8941725286930767E-3</v>
      </c>
      <c r="H35">
        <f>wOver[[#This Row],[W6]]/wTask[[#This Row],[W6]]</f>
        <v>5.2437391831723443E-3</v>
      </c>
      <c r="I35" s="1">
        <f>AVERAGE(Table3[[#This Row],[W1]:[W6]])</f>
        <v>4.5642839483496338E-3</v>
      </c>
      <c r="J35">
        <f>_xlfn.STDEV.P(Table3[[#This Row],[W1]:[W6]])</f>
        <v>2.2319226419926612E-3</v>
      </c>
      <c r="K35" s="1">
        <f>wTask[[#This Row],[Average]]</f>
        <v>135.06066666666669</v>
      </c>
      <c r="L35">
        <f>wOver[[#This Row],[Mean]]</f>
        <v>0.61574916666666668</v>
      </c>
    </row>
    <row r="36" spans="1:12" x14ac:dyDescent="0.45">
      <c r="A36" t="str">
        <f>wTask[[#This Row],[Heuristic]]</f>
        <v>LJF</v>
      </c>
      <c r="B36">
        <f>wTask[[#This Row],[Variance]]</f>
        <v>5.6000000000000001E-2</v>
      </c>
      <c r="C36" s="1">
        <f>wOver[[#This Row],[W1]]/wTask[[#This Row],[W1]]</f>
        <v>2.6918138637375684E-3</v>
      </c>
      <c r="D36">
        <f>wOver[[#This Row],[W2]]/wTask[[#This Row],[W2]]</f>
        <v>6.5152493479511842E-3</v>
      </c>
      <c r="E36">
        <f>wOver[[#This Row],[W3]]/wTask[[#This Row],[W3]]</f>
        <v>1.3157610064757049E-3</v>
      </c>
      <c r="F36">
        <f>wOver[[#This Row],[W4]]/wTask[[#This Row],[W4]]</f>
        <v>4.0207233743514599E-3</v>
      </c>
      <c r="G36">
        <f>wOver[[#This Row],[W5]]/wTask[[#This Row],[W5]]</f>
        <v>5.2414583364539177E-3</v>
      </c>
      <c r="H36">
        <f>wOver[[#This Row],[W6]]/wTask[[#This Row],[W6]]</f>
        <v>7.8584210683289094E-3</v>
      </c>
      <c r="I36" s="1">
        <f>AVERAGE(Table3[[#This Row],[W1]:[W6]])</f>
        <v>4.6072378328831246E-3</v>
      </c>
      <c r="J36">
        <f>_xlfn.STDEV.P(Table3[[#This Row],[W1]:[W6]])</f>
        <v>2.2158370844764545E-3</v>
      </c>
      <c r="K36" s="1">
        <f>wTask[[#This Row],[Average]]</f>
        <v>134.1525</v>
      </c>
      <c r="L36">
        <f>wOver[[#This Row],[Mean]]</f>
        <v>0.61728116666666677</v>
      </c>
    </row>
    <row r="37" spans="1:12" x14ac:dyDescent="0.45">
      <c r="A37" t="str">
        <f>wTask[[#This Row],[Heuristic]]</f>
        <v>LJF</v>
      </c>
      <c r="B37">
        <f>wTask[[#This Row],[Variance]]</f>
        <v>0.1</v>
      </c>
      <c r="C37" s="1">
        <f>wOver[[#This Row],[W1]]/wTask[[#This Row],[W1]]</f>
        <v>1.4657536319612591E-3</v>
      </c>
      <c r="D37">
        <f>wOver[[#This Row],[W2]]/wTask[[#This Row],[W2]]</f>
        <v>2.7979493776247588E-3</v>
      </c>
      <c r="E37">
        <f>wOver[[#This Row],[W3]]/wTask[[#This Row],[W3]]</f>
        <v>4.2517680232249649E-3</v>
      </c>
      <c r="F37">
        <f>wOver[[#This Row],[W4]]/wTask[[#This Row],[W4]]</f>
        <v>5.7079927716491372E-3</v>
      </c>
      <c r="G37">
        <f>wOver[[#This Row],[W5]]/wTask[[#This Row],[W5]]</f>
        <v>6.9690268860659122E-3</v>
      </c>
      <c r="H37">
        <f>wOver[[#This Row],[W6]]/wTask[[#This Row],[W6]]</f>
        <v>8.2803957993706646E-3</v>
      </c>
      <c r="I37" s="1">
        <f>AVERAGE(Table3[[#This Row],[W1]:[W6]])</f>
        <v>4.9121477483161161E-3</v>
      </c>
      <c r="J37">
        <f>_xlfn.STDEV.P(Table3[[#This Row],[W1]:[W6]])</f>
        <v>2.3449514763671151E-3</v>
      </c>
      <c r="K37" s="1">
        <f>wTask[[#This Row],[Average]]</f>
        <v>131.92166666666665</v>
      </c>
      <c r="L37">
        <f>wOver[[#This Row],[Mean]]</f>
        <v>0.64755700000000005</v>
      </c>
    </row>
    <row r="38" spans="1:12" x14ac:dyDescent="0.45">
      <c r="A38" t="str">
        <f>wTask[[#This Row],[Heuristic]]</f>
        <v>LJF</v>
      </c>
      <c r="B38">
        <f>wTask[[#This Row],[Variance]]</f>
        <v>0.18</v>
      </c>
      <c r="C38" s="1">
        <f>wOver[[#This Row],[W1]]/wTask[[#This Row],[W1]]</f>
        <v>6.1793746571585303E-3</v>
      </c>
      <c r="D38">
        <f>wOver[[#This Row],[W2]]/wTask[[#This Row],[W2]]</f>
        <v>1.1390503769680219E-3</v>
      </c>
      <c r="E38">
        <f>wOver[[#This Row],[W3]]/wTask[[#This Row],[W3]]</f>
        <v>2.3700853699609027E-3</v>
      </c>
      <c r="F38">
        <f>wOver[[#This Row],[W4]]/wTask[[#This Row],[W4]]</f>
        <v>3.6304395475933019E-3</v>
      </c>
      <c r="G38">
        <f>wOver[[#This Row],[W5]]/wTask[[#This Row],[W5]]</f>
        <v>5.1279633719522487E-3</v>
      </c>
      <c r="H38">
        <f>wOver[[#This Row],[W6]]/wTask[[#This Row],[W6]]</f>
        <v>7.5558650005496733E-3</v>
      </c>
      <c r="I38" s="1">
        <f>AVERAGE(Table3[[#This Row],[W1]:[W6]])</f>
        <v>4.3337963873637799E-3</v>
      </c>
      <c r="J38">
        <f>_xlfn.STDEV.P(Table3[[#This Row],[W1]:[W6]])</f>
        <v>2.1975691256586054E-3</v>
      </c>
      <c r="K38" s="1">
        <f>wTask[[#This Row],[Average]]</f>
        <v>136.60966666666664</v>
      </c>
      <c r="L38">
        <f>wOver[[#This Row],[Mean]]</f>
        <v>0.59184766666666677</v>
      </c>
    </row>
    <row r="39" spans="1:12" x14ac:dyDescent="0.45">
      <c r="A39" t="str">
        <f>wTask[[#This Row],[Heuristic]]</f>
        <v>LJF</v>
      </c>
      <c r="B39">
        <f>wTask[[#This Row],[Variance]]</f>
        <v>0.31</v>
      </c>
      <c r="C39" s="1">
        <f>wOver[[#This Row],[W1]]/wTask[[#This Row],[W1]]</f>
        <v>5.6076521789463788E-3</v>
      </c>
      <c r="D39">
        <f>wOver[[#This Row],[W2]]/wTask[[#This Row],[W2]]</f>
        <v>3.4873414976215608E-3</v>
      </c>
      <c r="E39">
        <f>wOver[[#This Row],[W3]]/wTask[[#This Row],[W3]]</f>
        <v>2.9366035011730734E-3</v>
      </c>
      <c r="F39">
        <f>wOver[[#This Row],[W4]]/wTask[[#This Row],[W4]]</f>
        <v>4.4014407761366926E-3</v>
      </c>
      <c r="G39">
        <f>wOver[[#This Row],[W5]]/wTask[[#This Row],[W5]]</f>
        <v>6.1260817882666744E-3</v>
      </c>
      <c r="H39">
        <f>wOver[[#This Row],[W6]]/wTask[[#This Row],[W6]]</f>
        <v>8.0645114515439098E-3</v>
      </c>
      <c r="I39" s="1">
        <f>AVERAGE(Table3[[#This Row],[W1]:[W6]])</f>
        <v>5.103938532281381E-3</v>
      </c>
      <c r="J39">
        <f>_xlfn.STDEV.P(Table3[[#This Row],[W1]:[W6]])</f>
        <v>1.7256750607029081E-3</v>
      </c>
      <c r="K39" s="1">
        <f>wTask[[#This Row],[Average]]</f>
        <v>138.17916666666665</v>
      </c>
      <c r="L39">
        <f>wOver[[#This Row],[Mean]]</f>
        <v>0.70494316666666668</v>
      </c>
    </row>
    <row r="40" spans="1:12" x14ac:dyDescent="0.45">
      <c r="A40" t="str">
        <f>wTask[[#This Row],[Heuristic]]</f>
        <v>LJF</v>
      </c>
      <c r="B40">
        <f>wTask[[#This Row],[Variance]]</f>
        <v>0.56000000000000005</v>
      </c>
      <c r="C40" s="1">
        <f>wOver[[#This Row],[W1]]/wTask[[#This Row],[W1]]</f>
        <v>3.5777006536828631E-3</v>
      </c>
      <c r="D40">
        <f>wOver[[#This Row],[W2]]/wTask[[#This Row],[W2]]</f>
        <v>2.0507785688330215E-3</v>
      </c>
      <c r="E40">
        <f>wOver[[#This Row],[W3]]/wTask[[#This Row],[W3]]</f>
        <v>1.477692478486412E-3</v>
      </c>
      <c r="F40">
        <f>wOver[[#This Row],[W4]]/wTask[[#This Row],[W4]]</f>
        <v>4.1886176668914357E-3</v>
      </c>
      <c r="G40">
        <f>wOver[[#This Row],[W5]]/wTask[[#This Row],[W5]]</f>
        <v>6.0563532478759468E-3</v>
      </c>
      <c r="H40">
        <f>wOver[[#This Row],[W6]]/wTask[[#This Row],[W6]]</f>
        <v>7.2491360011903228E-3</v>
      </c>
      <c r="I40" s="1">
        <f>AVERAGE(Table3[[#This Row],[W1]:[W6]])</f>
        <v>4.10004643616E-3</v>
      </c>
      <c r="J40">
        <f>_xlfn.STDEV.P(Table3[[#This Row],[W1]:[W6]])</f>
        <v>2.0453536972415967E-3</v>
      </c>
      <c r="K40" s="1">
        <f>wTask[[#This Row],[Average]]</f>
        <v>148.30800000000002</v>
      </c>
      <c r="L40">
        <f>wOver[[#This Row],[Mean]]</f>
        <v>0.60750666666666664</v>
      </c>
    </row>
    <row r="41" spans="1:12" x14ac:dyDescent="0.45">
      <c r="A41" t="str">
        <f>wTask[[#This Row],[Heuristic]]</f>
        <v>LJF</v>
      </c>
      <c r="B41">
        <f>wTask[[#This Row],[Variance]]</f>
        <v>1</v>
      </c>
      <c r="C41" s="1">
        <f>wOver[[#This Row],[W1]]/wTask[[#This Row],[W1]]</f>
        <v>4.9525900338493979E-3</v>
      </c>
      <c r="D41">
        <f>wOver[[#This Row],[W2]]/wTask[[#This Row],[W2]]</f>
        <v>7.1245067526260223E-3</v>
      </c>
      <c r="E41">
        <f>wOver[[#This Row],[W3]]/wTask[[#This Row],[W3]]</f>
        <v>8.1803056145358342E-3</v>
      </c>
      <c r="F41">
        <f>wOver[[#This Row],[W4]]/wTask[[#This Row],[W4]]</f>
        <v>7.604347765615656E-3</v>
      </c>
      <c r="G41">
        <f>wOver[[#This Row],[W5]]/wTask[[#This Row],[W5]]</f>
        <v>5.744210906263883E-3</v>
      </c>
      <c r="H41">
        <f>wOver[[#This Row],[W6]]/wTask[[#This Row],[W6]]</f>
        <v>7.0799813657254516E-3</v>
      </c>
      <c r="I41" s="1">
        <f>AVERAGE(Table3[[#This Row],[W1]:[W6]])</f>
        <v>6.7809904064360408E-3</v>
      </c>
      <c r="J41">
        <f>_xlfn.STDEV.P(Table3[[#This Row],[W1]:[W6]])</f>
        <v>1.1001029588803132E-3</v>
      </c>
      <c r="K41" s="1">
        <f>wTask[[#This Row],[Average]]</f>
        <v>143.90666666666667</v>
      </c>
      <c r="L41">
        <f>wOver[[#This Row],[Mean]]</f>
        <v>0.97564483333333341</v>
      </c>
    </row>
    <row r="42" spans="1:12" x14ac:dyDescent="0.45">
      <c r="A42" s="3" t="str">
        <f>wTask[[#This Row],[Heuristic]]</f>
        <v>RR</v>
      </c>
      <c r="B42" s="3">
        <f>wTask[[#This Row],[Variance]]</f>
        <v>0</v>
      </c>
      <c r="C42" s="4">
        <f>wOver[[#This Row],[W1]]/wTask[[#This Row],[W1]]</f>
        <v>8.4344163658243085E-3</v>
      </c>
      <c r="D42" s="3">
        <f>wOver[[#This Row],[W2]]/wTask[[#This Row],[W2]]</f>
        <v>9.4323677998292936E-3</v>
      </c>
      <c r="E42" s="3">
        <f>wOver[[#This Row],[W3]]/wTask[[#This Row],[W3]]</f>
        <v>1.0746655422240963E-2</v>
      </c>
      <c r="F42" s="3">
        <f>wOver[[#This Row],[W4]]/wTask[[#This Row],[W4]]</f>
        <v>1.268907968746228E-2</v>
      </c>
      <c r="G42" s="3">
        <f>wOver[[#This Row],[W5]]/wTask[[#This Row],[W5]]</f>
        <v>1.3924426922710075E-2</v>
      </c>
      <c r="H42" s="3">
        <f>wOver[[#This Row],[W6]]/wTask[[#This Row],[W6]]</f>
        <v>1.6356945800263145E-2</v>
      </c>
      <c r="I42" s="4">
        <f>AVERAGE(Table3[[#This Row],[W1]:[W6]])</f>
        <v>1.1930648666388344E-2</v>
      </c>
      <c r="J42" s="3">
        <f>_xlfn.STDEV.P(Table3[[#This Row],[W1]:[W6]])</f>
        <v>2.7083009205147368E-3</v>
      </c>
      <c r="K42" s="4">
        <f>wTask[[#This Row],[Average]]</f>
        <v>125.50400000000002</v>
      </c>
      <c r="L42" s="3">
        <f>wOver[[#This Row],[Mean]]</f>
        <v>1.4892433333333333</v>
      </c>
    </row>
    <row r="43" spans="1:12" x14ac:dyDescent="0.45">
      <c r="A43" t="str">
        <f>wTask[[#This Row],[Heuristic]]</f>
        <v>RR</v>
      </c>
      <c r="B43">
        <f>wTask[[#This Row],[Variance]]</f>
        <v>0.01</v>
      </c>
      <c r="C43" s="1">
        <f>wOver[[#This Row],[W1]]/wTask[[#This Row],[W1]]</f>
        <v>5.4351161634985717E-3</v>
      </c>
      <c r="D43">
        <f>wOver[[#This Row],[W2]]/wTask[[#This Row],[W2]]</f>
        <v>9.178277068984983E-3</v>
      </c>
      <c r="E43">
        <f>wOver[[#This Row],[W3]]/wTask[[#This Row],[W3]]</f>
        <v>1.0635138850701128E-2</v>
      </c>
      <c r="F43">
        <f>wOver[[#This Row],[W4]]/wTask[[#This Row],[W4]]</f>
        <v>1.2061139273662964E-2</v>
      </c>
      <c r="G43">
        <f>wOver[[#This Row],[W5]]/wTask[[#This Row],[W5]]</f>
        <v>6.6068214760236742E-3</v>
      </c>
      <c r="H43">
        <f>wOver[[#This Row],[W6]]/wTask[[#This Row],[W6]]</f>
        <v>8.1344383914575286E-3</v>
      </c>
      <c r="I43" s="1">
        <f>AVERAGE(Table3[[#This Row],[W1]:[W6]])</f>
        <v>8.6751552040548099E-3</v>
      </c>
      <c r="J43">
        <f>_xlfn.STDEV.P(Table3[[#This Row],[W1]:[W6]])</f>
        <v>2.2593431085161731E-3</v>
      </c>
      <c r="K43" s="1">
        <f>wTask[[#This Row],[Average]]</f>
        <v>130.6165</v>
      </c>
      <c r="L43">
        <f>wOver[[#This Row],[Mean]]</f>
        <v>1.1334603333333333</v>
      </c>
    </row>
    <row r="44" spans="1:12" x14ac:dyDescent="0.45">
      <c r="A44" t="str">
        <f>wTask[[#This Row],[Heuristic]]</f>
        <v>RR</v>
      </c>
      <c r="B44">
        <f>wTask[[#This Row],[Variance]]</f>
        <v>1.7999999999999999E-2</v>
      </c>
      <c r="C44" s="1">
        <f>wOver[[#This Row],[W1]]/wTask[[#This Row],[W1]]</f>
        <v>1.3230861790267982E-3</v>
      </c>
      <c r="D44">
        <f>wOver[[#This Row],[W2]]/wTask[[#This Row],[W2]]</f>
        <v>7.6217460982053896E-3</v>
      </c>
      <c r="E44">
        <f>wOver[[#This Row],[W3]]/wTask[[#This Row],[W3]]</f>
        <v>7.2045059093893632E-3</v>
      </c>
      <c r="F44">
        <f>wOver[[#This Row],[W4]]/wTask[[#This Row],[W4]]</f>
        <v>1.0046664589039973E-2</v>
      </c>
      <c r="G44">
        <f>wOver[[#This Row],[W5]]/wTask[[#This Row],[W5]]</f>
        <v>1.0116811262546528E-2</v>
      </c>
      <c r="H44">
        <f>wOver[[#This Row],[W6]]/wTask[[#This Row],[W6]]</f>
        <v>1.1406511062731E-2</v>
      </c>
      <c r="I44" s="1">
        <f>AVERAGE(Table3[[#This Row],[W1]:[W6]])</f>
        <v>7.9532208501565099E-3</v>
      </c>
      <c r="J44">
        <f>_xlfn.STDEV.P(Table3[[#This Row],[W1]:[W6]])</f>
        <v>3.3070122160782432E-3</v>
      </c>
      <c r="K44" s="1">
        <f>wTask[[#This Row],[Average]]</f>
        <v>132.76666666666665</v>
      </c>
      <c r="L44">
        <f>wOver[[#This Row],[Mean]]</f>
        <v>1.0525309999999999</v>
      </c>
    </row>
    <row r="45" spans="1:12" x14ac:dyDescent="0.45">
      <c r="A45" t="str">
        <f>wTask[[#This Row],[Heuristic]]</f>
        <v>RR</v>
      </c>
      <c r="B45">
        <f>wTask[[#This Row],[Variance]]</f>
        <v>3.1E-2</v>
      </c>
      <c r="C45" s="1">
        <f>wOver[[#This Row],[W1]]/wTask[[#This Row],[W1]]</f>
        <v>1.2928985969151404E-3</v>
      </c>
      <c r="D45">
        <f>wOver[[#This Row],[W2]]/wTask[[#This Row],[W2]]</f>
        <v>2.4863937205033162E-3</v>
      </c>
      <c r="E45">
        <f>wOver[[#This Row],[W3]]/wTask[[#This Row],[W3]]</f>
        <v>3.7524686730213128E-3</v>
      </c>
      <c r="F45">
        <f>wOver[[#This Row],[W4]]/wTask[[#This Row],[W4]]</f>
        <v>5.6792189679218978E-3</v>
      </c>
      <c r="G45">
        <f>wOver[[#This Row],[W5]]/wTask[[#This Row],[W5]]</f>
        <v>6.9256564702177082E-3</v>
      </c>
      <c r="H45">
        <f>wOver[[#This Row],[W6]]/wTask[[#This Row],[W6]]</f>
        <v>7.594292570800746E-3</v>
      </c>
      <c r="I45" s="1">
        <f>AVERAGE(Table3[[#This Row],[W1]:[W6]])</f>
        <v>4.6218214998966873E-3</v>
      </c>
      <c r="J45">
        <f>_xlfn.STDEV.P(Table3[[#This Row],[W1]:[W6]])</f>
        <v>2.297059100814848E-3</v>
      </c>
      <c r="K45" s="1">
        <f>wTask[[#This Row],[Average]]</f>
        <v>134.54300000000001</v>
      </c>
      <c r="L45">
        <f>wOver[[#This Row],[Mean]]</f>
        <v>0.61537583333333334</v>
      </c>
    </row>
    <row r="46" spans="1:12" x14ac:dyDescent="0.45">
      <c r="A46" t="str">
        <f>wTask[[#This Row],[Heuristic]]</f>
        <v>RR</v>
      </c>
      <c r="B46">
        <f>wTask[[#This Row],[Variance]]</f>
        <v>5.6000000000000001E-2</v>
      </c>
      <c r="C46" s="1">
        <f>wOver[[#This Row],[W1]]/wTask[[#This Row],[W1]]</f>
        <v>1.3228322988771244E-3</v>
      </c>
      <c r="D46">
        <f>wOver[[#This Row],[W2]]/wTask[[#This Row],[W2]]</f>
        <v>2.6807631466122615E-3</v>
      </c>
      <c r="E46">
        <f>wOver[[#This Row],[W3]]/wTask[[#This Row],[W3]]</f>
        <v>4.0056767810714364E-3</v>
      </c>
      <c r="F46">
        <f>wOver[[#This Row],[W4]]/wTask[[#This Row],[W4]]</f>
        <v>5.4168949983745881E-3</v>
      </c>
      <c r="G46">
        <f>wOver[[#This Row],[W5]]/wTask[[#This Row],[W5]]</f>
        <v>6.7003304387919776E-3</v>
      </c>
      <c r="H46">
        <f>wOver[[#This Row],[W6]]/wTask[[#This Row],[W6]]</f>
        <v>7.7134012470360938E-3</v>
      </c>
      <c r="I46" s="1">
        <f>AVERAGE(Table3[[#This Row],[W1]:[W6]])</f>
        <v>4.6399831517939137E-3</v>
      </c>
      <c r="J46">
        <f>_xlfn.STDEV.P(Table3[[#This Row],[W1]:[W6]])</f>
        <v>2.2188172198346818E-3</v>
      </c>
      <c r="K46" s="1">
        <f>wTask[[#This Row],[Average]]</f>
        <v>133.28233333333333</v>
      </c>
      <c r="L46">
        <f>wOver[[#This Row],[Mean]]</f>
        <v>0.61727283333333327</v>
      </c>
    </row>
    <row r="47" spans="1:12" x14ac:dyDescent="0.45">
      <c r="A47" t="str">
        <f>wTask[[#This Row],[Heuristic]]</f>
        <v>RR</v>
      </c>
      <c r="B47">
        <f>wTask[[#This Row],[Variance]]</f>
        <v>0.1</v>
      </c>
      <c r="C47" s="1">
        <f>wOver[[#This Row],[W1]]/wTask[[#This Row],[W1]]</f>
        <v>1.41012840880934E-3</v>
      </c>
      <c r="D47">
        <f>wOver[[#This Row],[W2]]/wTask[[#This Row],[W2]]</f>
        <v>2.7905601824236063E-3</v>
      </c>
      <c r="E47">
        <f>wOver[[#This Row],[W3]]/wTask[[#This Row],[W3]]</f>
        <v>4.0938504001401949E-3</v>
      </c>
      <c r="F47">
        <f>wOver[[#This Row],[W4]]/wTask[[#This Row],[W4]]</f>
        <v>5.8217068617013069E-3</v>
      </c>
      <c r="G47">
        <f>wOver[[#This Row],[W5]]/wTask[[#This Row],[W5]]</f>
        <v>6.708199032298327E-3</v>
      </c>
      <c r="H47">
        <f>wOver[[#This Row],[W6]]/wTask[[#This Row],[W6]]</f>
        <v>8.4660840164093344E-3</v>
      </c>
      <c r="I47" s="1">
        <f>AVERAGE(Table3[[#This Row],[W1]:[W6]])</f>
        <v>4.8817548169636845E-3</v>
      </c>
      <c r="J47">
        <f>_xlfn.STDEV.P(Table3[[#This Row],[W1]:[W6]])</f>
        <v>2.3844252422581956E-3</v>
      </c>
      <c r="K47" s="1">
        <f>wTask[[#This Row],[Average]]</f>
        <v>133.56283333333332</v>
      </c>
      <c r="L47">
        <f>wOver[[#This Row],[Mean]]</f>
        <v>0.64728216666666671</v>
      </c>
    </row>
    <row r="48" spans="1:12" x14ac:dyDescent="0.45">
      <c r="A48" t="str">
        <f>wTask[[#This Row],[Heuristic]]</f>
        <v>RR</v>
      </c>
      <c r="B48">
        <f>wTask[[#This Row],[Variance]]</f>
        <v>0.18</v>
      </c>
      <c r="C48" s="1">
        <f>wOver[[#This Row],[W1]]/wTask[[#This Row],[W1]]</f>
        <v>1.1579581993569131E-3</v>
      </c>
      <c r="D48">
        <f>wOver[[#This Row],[W2]]/wTask[[#This Row],[W2]]</f>
        <v>3.5963099470677257E-3</v>
      </c>
      <c r="E48">
        <f>wOver[[#This Row],[W3]]/wTask[[#This Row],[W3]]</f>
        <v>9.4904911118257208E-3</v>
      </c>
      <c r="F48">
        <f>wOver[[#This Row],[W4]]/wTask[[#This Row],[W4]]</f>
        <v>5.3296364662629089E-3</v>
      </c>
      <c r="G48">
        <f>wOver[[#This Row],[W5]]/wTask[[#This Row],[W5]]</f>
        <v>6.2047637934073687E-3</v>
      </c>
      <c r="H48">
        <f>wOver[[#This Row],[W6]]/wTask[[#This Row],[W6]]</f>
        <v>7.4603404353867538E-3</v>
      </c>
      <c r="I48" s="1">
        <f>AVERAGE(Table3[[#This Row],[W1]:[W6]])</f>
        <v>5.5399166588845665E-3</v>
      </c>
      <c r="J48">
        <f>_xlfn.STDEV.P(Table3[[#This Row],[W1]:[W6]])</f>
        <v>2.6695964880022525E-3</v>
      </c>
      <c r="K48" s="1">
        <f>wTask[[#This Row],[Average]]</f>
        <v>135.26666666666665</v>
      </c>
      <c r="L48">
        <f>wOver[[#This Row],[Mean]]</f>
        <v>0.74927083333333344</v>
      </c>
    </row>
    <row r="49" spans="1:12" x14ac:dyDescent="0.45">
      <c r="A49" t="str">
        <f>wTask[[#This Row],[Heuristic]]</f>
        <v>RR</v>
      </c>
      <c r="B49">
        <f>wTask[[#This Row],[Variance]]</f>
        <v>0.31</v>
      </c>
      <c r="C49" s="1">
        <f>wOver[[#This Row],[W1]]/wTask[[#This Row],[W1]]</f>
        <v>5.2378764132138345E-3</v>
      </c>
      <c r="D49">
        <f>wOver[[#This Row],[W2]]/wTask[[#This Row],[W2]]</f>
        <v>2.8741403560851833E-3</v>
      </c>
      <c r="E49">
        <f>wOver[[#This Row],[W3]]/wTask[[#This Row],[W3]]</f>
        <v>4.5827275743500024E-3</v>
      </c>
      <c r="F49">
        <f>wOver[[#This Row],[W4]]/wTask[[#This Row],[W4]]</f>
        <v>5.4686059887508022E-3</v>
      </c>
      <c r="G49">
        <f>wOver[[#This Row],[W5]]/wTask[[#This Row],[W5]]</f>
        <v>8.1877153712484902E-3</v>
      </c>
      <c r="H49">
        <f>wOver[[#This Row],[W6]]/wTask[[#This Row],[W6]]</f>
        <v>9.1233621410649578E-3</v>
      </c>
      <c r="I49" s="1">
        <f>AVERAGE(Table3[[#This Row],[W1]:[W6]])</f>
        <v>5.9124046407855457E-3</v>
      </c>
      <c r="J49">
        <f>_xlfn.STDEV.P(Table3[[#This Row],[W1]:[W6]])</f>
        <v>2.1267472631066498E-3</v>
      </c>
      <c r="K49" s="1">
        <f>wTask[[#This Row],[Average]]</f>
        <v>137.75466666666668</v>
      </c>
      <c r="L49">
        <f>wOver[[#This Row],[Mean]]</f>
        <v>0.81645783333333333</v>
      </c>
    </row>
    <row r="50" spans="1:12" x14ac:dyDescent="0.45">
      <c r="A50" t="str">
        <f>wTask[[#This Row],[Heuristic]]</f>
        <v>RR</v>
      </c>
      <c r="B50">
        <f>wTask[[#This Row],[Variance]]</f>
        <v>0.56000000000000005</v>
      </c>
      <c r="C50" s="1">
        <f>wOver[[#This Row],[W1]]/wTask[[#This Row],[W1]]</f>
        <v>1.4022539098436063E-3</v>
      </c>
      <c r="D50">
        <f>wOver[[#This Row],[W2]]/wTask[[#This Row],[W2]]</f>
        <v>1.9937091685104931E-3</v>
      </c>
      <c r="E50">
        <f>wOver[[#This Row],[W3]]/wTask[[#This Row],[W3]]</f>
        <v>6.1106909568780033E-3</v>
      </c>
      <c r="F50">
        <f>wOver[[#This Row],[W4]]/wTask[[#This Row],[W4]]</f>
        <v>6.844135435020716E-3</v>
      </c>
      <c r="G50">
        <f>wOver[[#This Row],[W5]]/wTask[[#This Row],[W5]]</f>
        <v>1.3033099391543861E-2</v>
      </c>
      <c r="H50">
        <f>wOver[[#This Row],[W6]]/wTask[[#This Row],[W6]]</f>
        <v>9.4833400407998997E-3</v>
      </c>
      <c r="I50" s="1">
        <f>AVERAGE(Table3[[#This Row],[W1]:[W6]])</f>
        <v>6.4778714837660963E-3</v>
      </c>
      <c r="J50">
        <f>_xlfn.STDEV.P(Table3[[#This Row],[W1]:[W6]])</f>
        <v>4.0443876837293752E-3</v>
      </c>
      <c r="K50" s="1">
        <f>wTask[[#This Row],[Average]]</f>
        <v>147.3595</v>
      </c>
      <c r="L50">
        <f>wOver[[#This Row],[Mean]]</f>
        <v>0.92007366666666668</v>
      </c>
    </row>
    <row r="51" spans="1:12" x14ac:dyDescent="0.45">
      <c r="A51" t="str">
        <f>wTask[[#This Row],[Heuristic]]</f>
        <v>RR</v>
      </c>
      <c r="B51">
        <f>wTask[[#This Row],[Variance]]</f>
        <v>1</v>
      </c>
      <c r="C51" s="1">
        <f>wOver[[#This Row],[W1]]/wTask[[#This Row],[W1]]</f>
        <v>5.0083435195773032E-3</v>
      </c>
      <c r="D51">
        <f>wOver[[#This Row],[W2]]/wTask[[#This Row],[W2]]</f>
        <v>9.0074953246255998E-3</v>
      </c>
      <c r="E51">
        <f>wOver[[#This Row],[W3]]/wTask[[#This Row],[W3]]</f>
        <v>1.1423768335999566E-2</v>
      </c>
      <c r="F51">
        <f>wOver[[#This Row],[W4]]/wTask[[#This Row],[W4]]</f>
        <v>9.4521044466675357E-3</v>
      </c>
      <c r="G51">
        <f>wOver[[#This Row],[W5]]/wTask[[#This Row],[W5]]</f>
        <v>7.5824744632198293E-3</v>
      </c>
      <c r="H51">
        <f>wOver[[#This Row],[W6]]/wTask[[#This Row],[W6]]</f>
        <v>6.7001197730892246E-3</v>
      </c>
      <c r="I51" s="1">
        <f>AVERAGE(Table3[[#This Row],[W1]:[W6]])</f>
        <v>8.1957176438631762E-3</v>
      </c>
      <c r="J51">
        <f>_xlfn.STDEV.P(Table3[[#This Row],[W1]:[W6]])</f>
        <v>2.0587227460282056E-3</v>
      </c>
      <c r="K51" s="1">
        <f>wTask[[#This Row],[Average]]</f>
        <v>142.11166666666668</v>
      </c>
      <c r="L51">
        <f>wOver[[#This Row],[Mean]]</f>
        <v>1.1704988333333335</v>
      </c>
    </row>
    <row r="52" spans="1:12" x14ac:dyDescent="0.45">
      <c r="A52" s="3" t="str">
        <f>wTask[[#This Row],[Heuristic]]</f>
        <v>LBW</v>
      </c>
      <c r="B52" s="3">
        <f>wTask[[#This Row],[Variance]]</f>
        <v>0</v>
      </c>
      <c r="C52" s="4">
        <f>wOver[[#This Row],[W1]]/wTask[[#This Row],[W1]]</f>
        <v>6.8242174116181281E-3</v>
      </c>
      <c r="D52" s="3">
        <f>wOver[[#This Row],[W2]]/wTask[[#This Row],[W2]]</f>
        <v>8.1973666773205289E-3</v>
      </c>
      <c r="E52" s="3">
        <f>wOver[[#This Row],[W3]]/wTask[[#This Row],[W3]]</f>
        <v>5.4548226746221279E-3</v>
      </c>
      <c r="F52" s="3">
        <f>wOver[[#This Row],[W4]]/wTask[[#This Row],[W4]]</f>
        <v>9.6731304560401868E-3</v>
      </c>
      <c r="G52" s="3">
        <f>wOver[[#This Row],[W5]]/wTask[[#This Row],[W5]]</f>
        <v>1.4367316477081674E-2</v>
      </c>
      <c r="H52" s="3">
        <f>wOver[[#This Row],[W6]]/wTask[[#This Row],[W6]]</f>
        <v>1.5932182368407998E-2</v>
      </c>
      <c r="I52" s="4">
        <f>AVERAGE(Table3[[#This Row],[W1]:[W6]])</f>
        <v>1.0074839344181774E-2</v>
      </c>
      <c r="J52" s="3">
        <f>_xlfn.STDEV.P(Table3[[#This Row],[W1]:[W6]])</f>
        <v>3.8369084312984778E-3</v>
      </c>
      <c r="K52" s="4">
        <f>wTask[[#This Row],[Average]]</f>
        <v>125.82199999999999</v>
      </c>
      <c r="L52" s="3">
        <f>wOver[[#This Row],[Mean]]</f>
        <v>1.2557479999999999</v>
      </c>
    </row>
    <row r="53" spans="1:12" x14ac:dyDescent="0.45">
      <c r="A53" t="str">
        <f>wTask[[#This Row],[Heuristic]]</f>
        <v>LBW</v>
      </c>
      <c r="B53">
        <f>wTask[[#This Row],[Variance]]</f>
        <v>0.01</v>
      </c>
      <c r="C53" s="1">
        <f>wOver[[#This Row],[W1]]/wTask[[#This Row],[W1]]</f>
        <v>2.5959328160357277E-3</v>
      </c>
      <c r="D53">
        <f>wOver[[#This Row],[W2]]/wTask[[#This Row],[W2]]</f>
        <v>9.0807320179652779E-3</v>
      </c>
      <c r="E53">
        <f>wOver[[#This Row],[W3]]/wTask[[#This Row],[W3]]</f>
        <v>1.0340210319935835E-2</v>
      </c>
      <c r="F53">
        <f>wOver[[#This Row],[W4]]/wTask[[#This Row],[W4]]</f>
        <v>1.1725478446500131E-2</v>
      </c>
      <c r="G53">
        <f>wOver[[#This Row],[W5]]/wTask[[#This Row],[W5]]</f>
        <v>1.311462802252901E-2</v>
      </c>
      <c r="H53">
        <f>wOver[[#This Row],[W6]]/wTask[[#This Row],[W6]]</f>
        <v>1.4393946225408417E-2</v>
      </c>
      <c r="I53" s="1">
        <f>AVERAGE(Table3[[#This Row],[W1]:[W6]])</f>
        <v>1.0208487974729067E-2</v>
      </c>
      <c r="J53">
        <f>_xlfn.STDEV.P(Table3[[#This Row],[W1]:[W6]])</f>
        <v>3.8189254849028353E-3</v>
      </c>
      <c r="K53" s="1">
        <f>wTask[[#This Row],[Average]]</f>
        <v>133.66999999999999</v>
      </c>
      <c r="L53">
        <f>wOver[[#This Row],[Mean]]</f>
        <v>1.3632246666666665</v>
      </c>
    </row>
    <row r="54" spans="1:12" x14ac:dyDescent="0.45">
      <c r="A54" t="str">
        <f>wTask[[#This Row],[Heuristic]]</f>
        <v>LBW</v>
      </c>
      <c r="B54">
        <f>wTask[[#This Row],[Variance]]</f>
        <v>1.7999999999999999E-2</v>
      </c>
      <c r="C54" s="1">
        <f>wOver[[#This Row],[W1]]/wTask[[#This Row],[W1]]</f>
        <v>1.3505394338351265E-3</v>
      </c>
      <c r="D54">
        <f>wOver[[#This Row],[W2]]/wTask[[#This Row],[W2]]</f>
        <v>9.1717894768369116E-3</v>
      </c>
      <c r="E54">
        <f>wOver[[#This Row],[W3]]/wTask[[#This Row],[W3]]</f>
        <v>1.0450607493416329E-2</v>
      </c>
      <c r="F54">
        <f>wOver[[#This Row],[W4]]/wTask[[#This Row],[W4]]</f>
        <v>1.1707360528562413E-2</v>
      </c>
      <c r="G54">
        <f>wOver[[#This Row],[W5]]/wTask[[#This Row],[W5]]</f>
        <v>1.350499130943042E-2</v>
      </c>
      <c r="H54">
        <f>wOver[[#This Row],[W6]]/wTask[[#This Row],[W6]]</f>
        <v>1.4708567683326474E-2</v>
      </c>
      <c r="I54" s="1">
        <f>AVERAGE(Table3[[#This Row],[W1]:[W6]])</f>
        <v>1.0148975987567947E-2</v>
      </c>
      <c r="J54">
        <f>_xlfn.STDEV.P(Table3[[#This Row],[W1]:[W6]])</f>
        <v>4.3385796155414975E-3</v>
      </c>
      <c r="K54" s="1">
        <f>wTask[[#This Row],[Average]]</f>
        <v>133.03516666666667</v>
      </c>
      <c r="L54">
        <f>wOver[[#This Row],[Mean]]</f>
        <v>1.3445314999999998</v>
      </c>
    </row>
    <row r="55" spans="1:12" x14ac:dyDescent="0.45">
      <c r="A55" t="str">
        <f>wTask[[#This Row],[Heuristic]]</f>
        <v>LBW</v>
      </c>
      <c r="B55">
        <f>wTask[[#This Row],[Variance]]</f>
        <v>3.1E-2</v>
      </c>
      <c r="C55" s="1">
        <f>wOver[[#This Row],[W1]]/wTask[[#This Row],[W1]]</f>
        <v>1.2682108138740754E-3</v>
      </c>
      <c r="D55">
        <f>wOver[[#This Row],[W2]]/wTask[[#This Row],[W2]]</f>
        <v>8.9847130504578793E-3</v>
      </c>
      <c r="E55">
        <f>wOver[[#This Row],[W3]]/wTask[[#This Row],[W3]]</f>
        <v>1.0841573450342994E-2</v>
      </c>
      <c r="F55">
        <f>wOver[[#This Row],[W4]]/wTask[[#This Row],[W4]]</f>
        <v>1.1620380928559342E-2</v>
      </c>
      <c r="G55">
        <f>wOver[[#This Row],[W5]]/wTask[[#This Row],[W5]]</f>
        <v>1.2896671656247248E-2</v>
      </c>
      <c r="H55">
        <f>wOver[[#This Row],[W6]]/wTask[[#This Row],[W6]]</f>
        <v>1.4856809831105074E-2</v>
      </c>
      <c r="I55" s="1">
        <f>AVERAGE(Table3[[#This Row],[W1]:[W6]])</f>
        <v>1.0078059955097769E-2</v>
      </c>
      <c r="J55">
        <f>_xlfn.STDEV.P(Table3[[#This Row],[W1]:[W6]])</f>
        <v>4.3311195336175907E-3</v>
      </c>
      <c r="K55" s="1">
        <f>wTask[[#This Row],[Average]]</f>
        <v>134.31566666666666</v>
      </c>
      <c r="L55">
        <f>wOver[[#This Row],[Mean]]</f>
        <v>1.3451890000000002</v>
      </c>
    </row>
    <row r="56" spans="1:12" x14ac:dyDescent="0.45">
      <c r="A56" t="str">
        <f>wTask[[#This Row],[Heuristic]]</f>
        <v>LBW</v>
      </c>
      <c r="B56">
        <f>wTask[[#This Row],[Variance]]</f>
        <v>5.6000000000000001E-2</v>
      </c>
      <c r="C56" s="1">
        <f>wOver[[#This Row],[W1]]/wTask[[#This Row],[W1]]</f>
        <v>4.107450195856845E-3</v>
      </c>
      <c r="D56">
        <f>wOver[[#This Row],[W2]]/wTask[[#This Row],[W2]]</f>
        <v>5.2096133238078227E-3</v>
      </c>
      <c r="E56">
        <f>wOver[[#This Row],[W3]]/wTask[[#This Row],[W3]]</f>
        <v>7.840983460257021E-3</v>
      </c>
      <c r="F56">
        <f>wOver[[#This Row],[W4]]/wTask[[#This Row],[W4]]</f>
        <v>1.1756612116246281E-2</v>
      </c>
      <c r="G56">
        <f>wOver[[#This Row],[W5]]/wTask[[#This Row],[W5]]</f>
        <v>1.3691792658261199E-2</v>
      </c>
      <c r="H56">
        <f>wOver[[#This Row],[W6]]/wTask[[#This Row],[W6]]</f>
        <v>1.4522966349889425E-2</v>
      </c>
      <c r="I56" s="1">
        <f>AVERAGE(Table3[[#This Row],[W1]:[W6]])</f>
        <v>9.5215696840530994E-3</v>
      </c>
      <c r="J56">
        <f>_xlfn.STDEV.P(Table3[[#This Row],[W1]:[W6]])</f>
        <v>4.044135063646594E-3</v>
      </c>
      <c r="K56" s="1">
        <f>wTask[[#This Row],[Average]]</f>
        <v>133.0275</v>
      </c>
      <c r="L56">
        <f>wOver[[#This Row],[Mean]]</f>
        <v>1.2659468333333335</v>
      </c>
    </row>
    <row r="57" spans="1:12" x14ac:dyDescent="0.45">
      <c r="A57" t="str">
        <f>wTask[[#This Row],[Heuristic]]</f>
        <v>LBW</v>
      </c>
      <c r="B57">
        <f>wTask[[#This Row],[Variance]]</f>
        <v>0.1</v>
      </c>
      <c r="C57" s="1">
        <f>wOver[[#This Row],[W1]]/wTask[[#This Row],[W1]]</f>
        <v>1.4129199532573766E-3</v>
      </c>
      <c r="D57">
        <f>wOver[[#This Row],[W2]]/wTask[[#This Row],[W2]]</f>
        <v>9.3076053320637949E-3</v>
      </c>
      <c r="E57">
        <f>wOver[[#This Row],[W3]]/wTask[[#This Row],[W3]]</f>
        <v>1.0533144206633299E-2</v>
      </c>
      <c r="F57">
        <f>wOver[[#This Row],[W4]]/wTask[[#This Row],[W4]]</f>
        <v>1.1487925871854843E-2</v>
      </c>
      <c r="G57">
        <f>wOver[[#This Row],[W5]]/wTask[[#This Row],[W5]]</f>
        <v>1.2745672417100777E-2</v>
      </c>
      <c r="H57">
        <f>wOver[[#This Row],[W6]]/wTask[[#This Row],[W6]]</f>
        <v>1.405844898441016E-2</v>
      </c>
      <c r="I57" s="1">
        <f>AVERAGE(Table3[[#This Row],[W1]:[W6]])</f>
        <v>9.924286127553375E-3</v>
      </c>
      <c r="J57">
        <f>_xlfn.STDEV.P(Table3[[#This Row],[W1]:[W6]])</f>
        <v>4.0965605469457777E-3</v>
      </c>
      <c r="K57" s="1">
        <f>wTask[[#This Row],[Average]]</f>
        <v>135.22050000000002</v>
      </c>
      <c r="L57">
        <f>wOver[[#This Row],[Mean]]</f>
        <v>1.3396895000000002</v>
      </c>
    </row>
    <row r="58" spans="1:12" x14ac:dyDescent="0.45">
      <c r="A58" t="str">
        <f>wTask[[#This Row],[Heuristic]]</f>
        <v>LBW</v>
      </c>
      <c r="B58">
        <f>wTask[[#This Row],[Variance]]</f>
        <v>0.18</v>
      </c>
      <c r="C58" s="1">
        <f>wOver[[#This Row],[W1]]/wTask[[#This Row],[W1]]</f>
        <v>1.1766931517215285E-3</v>
      </c>
      <c r="D58">
        <f>wOver[[#This Row],[W2]]/wTask[[#This Row],[W2]]</f>
        <v>3.7513313844131711E-3</v>
      </c>
      <c r="E58">
        <f>wOver[[#This Row],[W3]]/wTask[[#This Row],[W3]]</f>
        <v>9.3719171810851525E-3</v>
      </c>
      <c r="F58">
        <f>wOver[[#This Row],[W4]]/wTask[[#This Row],[W4]]</f>
        <v>1.0062541700577025E-2</v>
      </c>
      <c r="G58">
        <f>wOver[[#This Row],[W5]]/wTask[[#This Row],[W5]]</f>
        <v>1.2883213558025434E-2</v>
      </c>
      <c r="H58">
        <f>wOver[[#This Row],[W6]]/wTask[[#This Row],[W6]]</f>
        <v>1.4161605962969011E-2</v>
      </c>
      <c r="I58" s="1">
        <f>AVERAGE(Table3[[#This Row],[W1]:[W6]])</f>
        <v>8.5678838231318874E-3</v>
      </c>
      <c r="J58">
        <f>_xlfn.STDEV.P(Table3[[#This Row],[W1]:[W6]])</f>
        <v>4.6658537419201479E-3</v>
      </c>
      <c r="K58" s="1">
        <f>wTask[[#This Row],[Average]]</f>
        <v>134.49916666666667</v>
      </c>
      <c r="L58">
        <f>wOver[[#This Row],[Mean]]</f>
        <v>1.1587908333333334</v>
      </c>
    </row>
    <row r="59" spans="1:12" x14ac:dyDescent="0.45">
      <c r="A59" t="str">
        <f>wTask[[#This Row],[Heuristic]]</f>
        <v>LBW</v>
      </c>
      <c r="B59">
        <f>wTask[[#This Row],[Variance]]</f>
        <v>0.31</v>
      </c>
      <c r="C59" s="1">
        <f>wOver[[#This Row],[W1]]/wTask[[#This Row],[W1]]</f>
        <v>4.5257331318259994E-3</v>
      </c>
      <c r="D59">
        <f>wOver[[#This Row],[W2]]/wTask[[#This Row],[W2]]</f>
        <v>9.4392543575104876E-3</v>
      </c>
      <c r="E59">
        <f>wOver[[#This Row],[W3]]/wTask[[#This Row],[W3]]</f>
        <v>1.0908239357770638E-2</v>
      </c>
      <c r="F59">
        <f>wOver[[#This Row],[W4]]/wTask[[#This Row],[W4]]</f>
        <v>1.237770217896822E-2</v>
      </c>
      <c r="G59">
        <f>wOver[[#This Row],[W5]]/wTask[[#This Row],[W5]]</f>
        <v>8.3346572344953698E-3</v>
      </c>
      <c r="H59">
        <f>wOver[[#This Row],[W6]]/wTask[[#This Row],[W6]]</f>
        <v>1.6226942754171043E-2</v>
      </c>
      <c r="I59" s="1">
        <f>AVERAGE(Table3[[#This Row],[W1]:[W6]])</f>
        <v>1.0302088169123626E-2</v>
      </c>
      <c r="J59">
        <f>_xlfn.STDEV.P(Table3[[#This Row],[W1]:[W6]])</f>
        <v>3.6000240467073609E-3</v>
      </c>
      <c r="K59" s="1">
        <f>wTask[[#This Row],[Average]]</f>
        <v>136.45149999999998</v>
      </c>
      <c r="L59">
        <f>wOver[[#This Row],[Mean]]</f>
        <v>1.4092501666666666</v>
      </c>
    </row>
    <row r="60" spans="1:12" x14ac:dyDescent="0.45">
      <c r="A60" t="str">
        <f>wTask[[#This Row],[Heuristic]]</f>
        <v>LBW</v>
      </c>
      <c r="B60">
        <f>wTask[[#This Row],[Variance]]</f>
        <v>0.56000000000000005</v>
      </c>
      <c r="C60" s="1">
        <f>wOver[[#This Row],[W1]]/wTask[[#This Row],[W1]]</f>
        <v>2.0295571095571095E-3</v>
      </c>
      <c r="D60">
        <f>wOver[[#This Row],[W2]]/wTask[[#This Row],[W2]]</f>
        <v>8.4787595865288435E-3</v>
      </c>
      <c r="E60">
        <f>wOver[[#This Row],[W3]]/wTask[[#This Row],[W3]]</f>
        <v>9.7318388195232683E-3</v>
      </c>
      <c r="F60">
        <f>wOver[[#This Row],[W4]]/wTask[[#This Row],[W4]]</f>
        <v>1.2730425041010391E-2</v>
      </c>
      <c r="G60">
        <f>wOver[[#This Row],[W5]]/wTask[[#This Row],[W5]]</f>
        <v>1.1615892972275952E-2</v>
      </c>
      <c r="H60">
        <f>wOver[[#This Row],[W6]]/wTask[[#This Row],[W6]]</f>
        <v>1.3408604373545319E-2</v>
      </c>
      <c r="I60" s="1">
        <f>AVERAGE(Table3[[#This Row],[W1]:[W6]])</f>
        <v>9.6658463170734791E-3</v>
      </c>
      <c r="J60">
        <f>_xlfn.STDEV.P(Table3[[#This Row],[W1]:[W6]])</f>
        <v>3.8063325603307388E-3</v>
      </c>
      <c r="K60" s="1">
        <f>wTask[[#This Row],[Average]]</f>
        <v>149.4855</v>
      </c>
      <c r="L60">
        <f>wOver[[#This Row],[Mean]]</f>
        <v>1.4442896666666669</v>
      </c>
    </row>
    <row r="61" spans="1:12" x14ac:dyDescent="0.45">
      <c r="A61" t="str">
        <f>wTask[[#This Row],[Heuristic]]</f>
        <v>LBW</v>
      </c>
      <c r="B61">
        <f>wTask[[#This Row],[Variance]]</f>
        <v>1</v>
      </c>
      <c r="C61" s="1">
        <f>wOver[[#This Row],[W1]]/wTask[[#This Row],[W1]]</f>
        <v>1.1970446391208007E-3</v>
      </c>
      <c r="D61">
        <f>wOver[[#This Row],[W2]]/wTask[[#This Row],[W2]]</f>
        <v>1.812826162588426E-3</v>
      </c>
      <c r="E61">
        <f>wOver[[#This Row],[W3]]/wTask[[#This Row],[W3]]</f>
        <v>8.5564756360853762E-3</v>
      </c>
      <c r="F61">
        <f>wOver[[#This Row],[W4]]/wTask[[#This Row],[W4]]</f>
        <v>1.084252620911139E-2</v>
      </c>
      <c r="G61">
        <f>wOver[[#This Row],[W5]]/wTask[[#This Row],[W5]]</f>
        <v>2.2064317908436108E-2</v>
      </c>
      <c r="H61">
        <f>wOver[[#This Row],[W6]]/wTask[[#This Row],[W6]]</f>
        <v>2.343801996672213E-2</v>
      </c>
      <c r="I61" s="1">
        <f>AVERAGE(Table3[[#This Row],[W1]:[W6]])</f>
        <v>1.1318535087010704E-2</v>
      </c>
      <c r="J61">
        <f>_xlfn.STDEV.P(Table3[[#This Row],[W1]:[W6]])</f>
        <v>8.7845735060545025E-3</v>
      </c>
      <c r="K61" s="1">
        <f>wTask[[#This Row],[Average]]</f>
        <v>143.69916666666668</v>
      </c>
      <c r="L61">
        <f>wOver[[#This Row],[Mean]]</f>
        <v>1.5981560000000001</v>
      </c>
    </row>
    <row r="62" spans="1:12" x14ac:dyDescent="0.45">
      <c r="A62" s="3" t="str">
        <f>wTask[[#This Row],[Heuristic]]</f>
        <v>WS</v>
      </c>
      <c r="B62" s="3">
        <f>wTask[[#This Row],[Variance]]</f>
        <v>0</v>
      </c>
      <c r="C62" s="4">
        <f>wOver[[#This Row],[W1]]/wTask[[#This Row],[W1]]</f>
        <v>5.5306510688011117E-3</v>
      </c>
      <c r="D62" s="3">
        <f>wOver[[#This Row],[W2]]/wTask[[#This Row],[W2]]</f>
        <v>2.7654874238646761E-3</v>
      </c>
      <c r="E62" s="3">
        <f>wOver[[#This Row],[W3]]/wTask[[#This Row],[W3]]</f>
        <v>1.3789526663049207E-3</v>
      </c>
      <c r="F62" s="3">
        <f>wOver[[#This Row],[W4]]/wTask[[#This Row],[W4]]</f>
        <v>4.1446019680817505E-3</v>
      </c>
      <c r="G62" s="3">
        <f>wOver[[#This Row],[W5]]/wTask[[#This Row],[W5]]</f>
        <v>6.9307034137770004E-3</v>
      </c>
      <c r="H62" s="3">
        <f>wOver[[#This Row],[W6]]/wTask[[#This Row],[W6]]</f>
        <v>8.3606413878168136E-3</v>
      </c>
      <c r="I62" s="4">
        <f>AVERAGE(Table3[[#This Row],[W1]:[W6]])</f>
        <v>4.8518396547743798E-3</v>
      </c>
      <c r="J62" s="3">
        <f>_xlfn.STDEV.P(Table3[[#This Row],[W1]:[W6]])</f>
        <v>2.3807612185212843E-3</v>
      </c>
      <c r="K62" s="4">
        <f>wTask[[#This Row],[Average]]</f>
        <v>126.5705</v>
      </c>
      <c r="L62" s="3">
        <f>wOver[[#This Row],[Mean]]</f>
        <v>0.61307016666666658</v>
      </c>
    </row>
    <row r="63" spans="1:12" x14ac:dyDescent="0.45">
      <c r="A63" t="str">
        <f>wTask[[#This Row],[Heuristic]]</f>
        <v>WS</v>
      </c>
      <c r="B63">
        <f>wTask[[#This Row],[Variance]]</f>
        <v>0.01</v>
      </c>
      <c r="C63" s="1">
        <f>wOver[[#This Row],[W1]]/wTask[[#This Row],[W1]]</f>
        <v>2.5918096374757571E-3</v>
      </c>
      <c r="D63">
        <f>wOver[[#This Row],[W2]]/wTask[[#This Row],[W2]]</f>
        <v>1.2948103282433569E-3</v>
      </c>
      <c r="E63">
        <f>wOver[[#This Row],[W3]]/wTask[[#This Row],[W3]]</f>
        <v>3.944370084069E-3</v>
      </c>
      <c r="F63">
        <f>wOver[[#This Row],[W4]]/wTask[[#This Row],[W4]]</f>
        <v>5.2715564665631728E-3</v>
      </c>
      <c r="G63">
        <f>wOver[[#This Row],[W5]]/wTask[[#This Row],[W5]]</f>
        <v>6.5956939783567746E-3</v>
      </c>
      <c r="H63">
        <f>wOver[[#This Row],[W6]]/wTask[[#This Row],[W6]]</f>
        <v>7.9086146506431552E-3</v>
      </c>
      <c r="I63" s="1">
        <f>AVERAGE(Table3[[#This Row],[W1]:[W6]])</f>
        <v>4.6011425242252031E-3</v>
      </c>
      <c r="J63">
        <f>_xlfn.STDEV.P(Table3[[#This Row],[W1]:[W6]])</f>
        <v>2.2644963936969496E-3</v>
      </c>
      <c r="K63" s="1">
        <f>wTask[[#This Row],[Average]]</f>
        <v>132.98216666666667</v>
      </c>
      <c r="L63">
        <f>wOver[[#This Row],[Mean]]</f>
        <v>0.61102066666666666</v>
      </c>
    </row>
    <row r="64" spans="1:12" x14ac:dyDescent="0.45">
      <c r="A64" t="str">
        <f>wTask[[#This Row],[Heuristic]]</f>
        <v>WS</v>
      </c>
      <c r="B64">
        <f>wTask[[#This Row],[Variance]]</f>
        <v>1.7999999999999999E-2</v>
      </c>
      <c r="C64" s="1">
        <f>wOver[[#This Row],[W1]]/wTask[[#This Row],[W1]]</f>
        <v>1.3740079813267074E-3</v>
      </c>
      <c r="D64">
        <f>wOver[[#This Row],[W2]]/wTask[[#This Row],[W2]]</f>
        <v>3.9708962594907603E-3</v>
      </c>
      <c r="E64">
        <f>wOver[[#This Row],[W3]]/wTask[[#This Row],[W3]]</f>
        <v>7.9937458356048215E-3</v>
      </c>
      <c r="F64">
        <f>wOver[[#This Row],[W4]]/wTask[[#This Row],[W4]]</f>
        <v>2.6117172321028248E-3</v>
      </c>
      <c r="G64">
        <f>wOver[[#This Row],[W5]]/wTask[[#This Row],[W5]]</f>
        <v>5.3013263717000573E-3</v>
      </c>
      <c r="H64">
        <f>wOver[[#This Row],[W6]]/wTask[[#This Row],[W6]]</f>
        <v>6.5903142245748395E-3</v>
      </c>
      <c r="I64" s="1">
        <f>AVERAGE(Table3[[#This Row],[W1]:[W6]])</f>
        <v>4.6403346508000027E-3</v>
      </c>
      <c r="J64">
        <f>_xlfn.STDEV.P(Table3[[#This Row],[W1]:[W6]])</f>
        <v>2.2626320687245466E-3</v>
      </c>
      <c r="K64" s="1">
        <f>wTask[[#This Row],[Average]]</f>
        <v>132.90583333333333</v>
      </c>
      <c r="L64">
        <f>wOver[[#This Row],[Mean]]</f>
        <v>0.61612766666666674</v>
      </c>
    </row>
    <row r="65" spans="1:12" x14ac:dyDescent="0.45">
      <c r="A65" t="str">
        <f>wTask[[#This Row],[Heuristic]]</f>
        <v>WS</v>
      </c>
      <c r="B65">
        <f>wTask[[#This Row],[Variance]]</f>
        <v>3.1E-2</v>
      </c>
      <c r="C65" s="1">
        <f>wOver[[#This Row],[W1]]/wTask[[#This Row],[W1]]</f>
        <v>3.8932150289959187E-3</v>
      </c>
      <c r="D65">
        <f>wOver[[#This Row],[W2]]/wTask[[#This Row],[W2]]</f>
        <v>6.5499683579644859E-3</v>
      </c>
      <c r="E65">
        <f>wOver[[#This Row],[W3]]/wTask[[#This Row],[W3]]</f>
        <v>1.2818797865616137E-3</v>
      </c>
      <c r="F65">
        <f>wOver[[#This Row],[W4]]/wTask[[#This Row],[W4]]</f>
        <v>2.608323620966909E-3</v>
      </c>
      <c r="G65">
        <f>wOver[[#This Row],[W5]]/wTask[[#This Row],[W5]]</f>
        <v>5.2462193271401603E-3</v>
      </c>
      <c r="H65">
        <f>wOver[[#This Row],[W6]]/wTask[[#This Row],[W6]]</f>
        <v>7.8502110492697317E-3</v>
      </c>
      <c r="I65" s="1">
        <f>AVERAGE(Table3[[#This Row],[W1]:[W6]])</f>
        <v>4.571636195149803E-3</v>
      </c>
      <c r="J65">
        <f>_xlfn.STDEV.P(Table3[[#This Row],[W1]:[W6]])</f>
        <v>2.2455608947780288E-3</v>
      </c>
      <c r="K65" s="1">
        <f>wTask[[#This Row],[Average]]</f>
        <v>134.98466666666667</v>
      </c>
      <c r="L65">
        <f>wOver[[#This Row],[Mean]]</f>
        <v>0.61549249999999989</v>
      </c>
    </row>
    <row r="66" spans="1:12" x14ac:dyDescent="0.45">
      <c r="A66" t="str">
        <f>wTask[[#This Row],[Heuristic]]</f>
        <v>WS</v>
      </c>
      <c r="B66">
        <f>wTask[[#This Row],[Variance]]</f>
        <v>5.6000000000000001E-2</v>
      </c>
      <c r="C66" s="1">
        <f>wOver[[#This Row],[W1]]/wTask[[#This Row],[W1]]</f>
        <v>5.1980015601203527E-3</v>
      </c>
      <c r="D66">
        <f>wOver[[#This Row],[W2]]/wTask[[#This Row],[W2]]</f>
        <v>6.4825760392652641E-3</v>
      </c>
      <c r="E66">
        <f>wOver[[#This Row],[W3]]/wTask[[#This Row],[W3]]</f>
        <v>7.874886035840795E-3</v>
      </c>
      <c r="F66">
        <f>wOver[[#This Row],[W4]]/wTask[[#This Row],[W4]]</f>
        <v>1.3184878070527394E-3</v>
      </c>
      <c r="G66">
        <f>wOver[[#This Row],[W5]]/wTask[[#This Row],[W5]]</f>
        <v>4.0105563140186359E-3</v>
      </c>
      <c r="H66">
        <f>wOver[[#This Row],[W6]]/wTask[[#This Row],[W6]]</f>
        <v>2.6914146587686876E-3</v>
      </c>
      <c r="I66" s="1">
        <f>AVERAGE(Table3[[#This Row],[W1]:[W6]])</f>
        <v>4.5959870691777462E-3</v>
      </c>
      <c r="J66">
        <f>_xlfn.STDEV.P(Table3[[#This Row],[W1]:[W6]])</f>
        <v>2.2130275066731646E-3</v>
      </c>
      <c r="K66" s="1">
        <f>wTask[[#This Row],[Average]]</f>
        <v>134.37266666666667</v>
      </c>
      <c r="L66">
        <f>wOver[[#This Row],[Mean]]</f>
        <v>0.61712966666666669</v>
      </c>
    </row>
    <row r="67" spans="1:12" x14ac:dyDescent="0.45">
      <c r="A67" t="str">
        <f>wTask[[#This Row],[Heuristic]]</f>
        <v>WS</v>
      </c>
      <c r="B67">
        <f>wTask[[#This Row],[Variance]]</f>
        <v>0.1</v>
      </c>
      <c r="C67" s="1">
        <f>wOver[[#This Row],[W1]]/wTask[[#This Row],[W1]]</f>
        <v>1.4214337170496479E-3</v>
      </c>
      <c r="D67">
        <f>wOver[[#This Row],[W2]]/wTask[[#This Row],[W2]]</f>
        <v>2.7031271716469766E-3</v>
      </c>
      <c r="E67">
        <f>wOver[[#This Row],[W3]]/wTask[[#This Row],[W3]]</f>
        <v>4.1085275862321659E-3</v>
      </c>
      <c r="F67">
        <f>wOver[[#This Row],[W4]]/wTask[[#This Row],[W4]]</f>
        <v>5.5589082258670338E-3</v>
      </c>
      <c r="G67">
        <f>wOver[[#This Row],[W5]]/wTask[[#This Row],[W5]]</f>
        <v>6.719672348122767E-3</v>
      </c>
      <c r="H67">
        <f>wOver[[#This Row],[W6]]/wTask[[#This Row],[W6]]</f>
        <v>8.0409440701056743E-3</v>
      </c>
      <c r="I67" s="1">
        <f>AVERAGE(Table3[[#This Row],[W1]:[W6]])</f>
        <v>4.7587688531707112E-3</v>
      </c>
      <c r="J67">
        <f>_xlfn.STDEV.P(Table3[[#This Row],[W1]:[W6]])</f>
        <v>2.2746546230784088E-3</v>
      </c>
      <c r="K67" s="1">
        <f>wTask[[#This Row],[Average]]</f>
        <v>136.12966666666665</v>
      </c>
      <c r="L67">
        <f>wOver[[#This Row],[Mean]]</f>
        <v>0.64735449999999994</v>
      </c>
    </row>
    <row r="68" spans="1:12" x14ac:dyDescent="0.45">
      <c r="A68" t="str">
        <f>wTask[[#This Row],[Heuristic]]</f>
        <v>WS</v>
      </c>
      <c r="B68">
        <f>wTask[[#This Row],[Variance]]</f>
        <v>0.18</v>
      </c>
      <c r="C68" s="1">
        <f>wOver[[#This Row],[W1]]/wTask[[#This Row],[W1]]</f>
        <v>1.1508924342884205E-3</v>
      </c>
      <c r="D68">
        <f>wOver[[#This Row],[W2]]/wTask[[#This Row],[W2]]</f>
        <v>2.3962704135265986E-3</v>
      </c>
      <c r="E68">
        <f>wOver[[#This Row],[W3]]/wTask[[#This Row],[W3]]</f>
        <v>5.1864400489850448E-3</v>
      </c>
      <c r="F68">
        <f>wOver[[#This Row],[W4]]/wTask[[#This Row],[W4]]</f>
        <v>3.6943554203877067E-3</v>
      </c>
      <c r="G68">
        <f>wOver[[#This Row],[W5]]/wTask[[#This Row],[W5]]</f>
        <v>6.2857079086377507E-3</v>
      </c>
      <c r="H68">
        <f>wOver[[#This Row],[W6]]/wTask[[#This Row],[W6]]</f>
        <v>7.643334297174462E-3</v>
      </c>
      <c r="I68" s="1">
        <f>AVERAGE(Table3[[#This Row],[W1]:[W6]])</f>
        <v>4.3928334204999973E-3</v>
      </c>
      <c r="J68">
        <f>_xlfn.STDEV.P(Table3[[#This Row],[W1]:[W6]])</f>
        <v>2.2272126815601322E-3</v>
      </c>
      <c r="K68" s="1">
        <f>wTask[[#This Row],[Average]]</f>
        <v>134.78716666666665</v>
      </c>
      <c r="L68">
        <f>wOver[[#This Row],[Mean]]</f>
        <v>0.59176916666666668</v>
      </c>
    </row>
    <row r="69" spans="1:12" x14ac:dyDescent="0.45">
      <c r="A69" t="str">
        <f>wTask[[#This Row],[Heuristic]]</f>
        <v>WS</v>
      </c>
      <c r="B69">
        <f>wTask[[#This Row],[Variance]]</f>
        <v>0.31</v>
      </c>
      <c r="C69" s="1">
        <f>wOver[[#This Row],[W1]]/wTask[[#This Row],[W1]]</f>
        <v>3.7660697211298589E-3</v>
      </c>
      <c r="D69">
        <f>wOver[[#This Row],[W2]]/wTask[[#This Row],[W2]]</f>
        <v>2.882701648643857E-3</v>
      </c>
      <c r="E69">
        <f>wOver[[#This Row],[W3]]/wTask[[#This Row],[W3]]</f>
        <v>4.3468590601146067E-3</v>
      </c>
      <c r="F69">
        <f>wOver[[#This Row],[W4]]/wTask[[#This Row],[W4]]</f>
        <v>5.5753693801322782E-3</v>
      </c>
      <c r="G69">
        <f>wOver[[#This Row],[W5]]/wTask[[#This Row],[W5]]</f>
        <v>6.0603060499752493E-3</v>
      </c>
      <c r="H69">
        <f>wOver[[#This Row],[W6]]/wTask[[#This Row],[W6]]</f>
        <v>7.9830400160839816E-3</v>
      </c>
      <c r="I69" s="1">
        <f>AVERAGE(Table3[[#This Row],[W1]:[W6]])</f>
        <v>5.1023909793466386E-3</v>
      </c>
      <c r="J69">
        <f>_xlfn.STDEV.P(Table3[[#This Row],[W1]:[W6]])</f>
        <v>1.6694835745413022E-3</v>
      </c>
      <c r="K69" s="1">
        <f>wTask[[#This Row],[Average]]</f>
        <v>139.58533333333335</v>
      </c>
      <c r="L69">
        <f>wOver[[#This Row],[Mean]]</f>
        <v>0.71153683333333329</v>
      </c>
    </row>
    <row r="70" spans="1:12" x14ac:dyDescent="0.45">
      <c r="A70" t="str">
        <f>wTask[[#This Row],[Heuristic]]</f>
        <v>WS</v>
      </c>
      <c r="B70">
        <f>wTask[[#This Row],[Variance]]</f>
        <v>0.56000000000000005</v>
      </c>
      <c r="C70" s="1">
        <f>wOver[[#This Row],[W1]]/wTask[[#This Row],[W1]]</f>
        <v>1.4509202656709512E-3</v>
      </c>
      <c r="D70">
        <f>wOver[[#This Row],[W2]]/wTask[[#This Row],[W2]]</f>
        <v>2.0055288983670005E-3</v>
      </c>
      <c r="E70">
        <f>wOver[[#This Row],[W3]]/wTask[[#This Row],[W3]]</f>
        <v>4.5747290435807775E-3</v>
      </c>
      <c r="F70">
        <f>wOver[[#This Row],[W4]]/wTask[[#This Row],[W4]]</f>
        <v>3.7351840361867779E-3</v>
      </c>
      <c r="G70">
        <f>wOver[[#This Row],[W5]]/wTask[[#This Row],[W5]]</f>
        <v>5.9242178124606333E-3</v>
      </c>
      <c r="H70">
        <f>wOver[[#This Row],[W6]]/wTask[[#This Row],[W6]]</f>
        <v>6.7716308636269259E-3</v>
      </c>
      <c r="I70" s="1">
        <f>AVERAGE(Table3[[#This Row],[W1]:[W6]])</f>
        <v>4.0770351533155119E-3</v>
      </c>
      <c r="J70">
        <f>_xlfn.STDEV.P(Table3[[#This Row],[W1]:[W6]])</f>
        <v>1.9246258848740737E-3</v>
      </c>
      <c r="K70" s="1">
        <f>wTask[[#This Row],[Average]]</f>
        <v>150.42250000000001</v>
      </c>
      <c r="L70">
        <f>wOver[[#This Row],[Mean]]</f>
        <v>0.61191866666666661</v>
      </c>
    </row>
    <row r="71" spans="1:12" x14ac:dyDescent="0.45">
      <c r="A71" s="2" t="str">
        <f>wTask[[#This Row],[Heuristic]]</f>
        <v>WS</v>
      </c>
      <c r="B71" s="2">
        <f>wTask[[#This Row],[Variance]]</f>
        <v>1</v>
      </c>
      <c r="C71" s="1">
        <f>wOver[[#This Row],[W1]]/wTask[[#This Row],[W1]]</f>
        <v>7.1015392773909041E-3</v>
      </c>
      <c r="D71">
        <f>wOver[[#This Row],[W2]]/wTask[[#This Row],[W2]]</f>
        <v>7.3726205960922536E-3</v>
      </c>
      <c r="E71">
        <f>wOver[[#This Row],[W3]]/wTask[[#This Row],[W3]]</f>
        <v>5.1583940688615234E-3</v>
      </c>
      <c r="F71">
        <f>wOver[[#This Row],[W4]]/wTask[[#This Row],[W4]]</f>
        <v>8.3494536924193213E-3</v>
      </c>
      <c r="G71">
        <f>wOver[[#This Row],[W5]]/wTask[[#This Row],[W5]]</f>
        <v>7.6724409669442911E-3</v>
      </c>
      <c r="H71">
        <f>wOver[[#This Row],[W6]]/wTask[[#This Row],[W6]]</f>
        <v>5.6977647865568562E-3</v>
      </c>
      <c r="I71" s="1">
        <f>AVERAGE(Table3[[#This Row],[W1]:[W6]])</f>
        <v>6.8920355647108583E-3</v>
      </c>
      <c r="J71">
        <f>_xlfn.STDEV.P(Table3[[#This Row],[W1]:[W6]])</f>
        <v>1.1135341258433464E-3</v>
      </c>
      <c r="K71" s="1">
        <f>wTask[[#This Row],[Average]]</f>
        <v>143.10650000000001</v>
      </c>
      <c r="L71">
        <f>wOver[[#This Row],[Mean]]</f>
        <v>0.98567683333333334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960B-09A7-421D-8D8F-05BD7374DABA}">
  <dimension ref="A1:H11"/>
  <sheetViews>
    <sheetView tabSelected="1" zoomScale="184" workbookViewId="0">
      <selection activeCell="I10" sqref="I10"/>
    </sheetView>
  </sheetViews>
  <sheetFormatPr baseColWidth="10" defaultColWidth="9.06640625" defaultRowHeight="14.25" x14ac:dyDescent="0.45"/>
  <cols>
    <col min="1" max="1" width="13.86328125" customWidth="1"/>
  </cols>
  <sheetData>
    <row r="1" spans="1:8" x14ac:dyDescent="0.45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45">
      <c r="A2">
        <v>0</v>
      </c>
      <c r="B2" cm="1">
        <f t="array" ref="B2">IFERROR(INDEX(wTask[StDev], MATCH(1, (wTask[Heuristic]=Table4[[#Headers],[FCFS]]) * (wTask[Variance] = Table4[[#This Row],[Heuristic]]), 0)), "")</f>
        <v>0.24579694645965278</v>
      </c>
      <c r="C2" cm="1">
        <f t="array" ref="C2">IFERROR(INDEX(wTask[StDev], MATCH(1, (wTask[Heuristic]=Table4[[#Headers],[LCFS]]) * (wTask[Variance] = Table4[[#This Row],[Heuristic]]), 0)), "")</f>
        <v>0.24122494112803075</v>
      </c>
      <c r="D2" cm="1">
        <f t="array" ref="D2">IFERROR(INDEX(wTask[StDev], MATCH(1, (wTask[Heuristic]=Table4[[#Headers],[SJF]]) * (wTask[Variance] = Table4[[#This Row],[Heuristic]]), 0)), "")</f>
        <v>0.5779554240789031</v>
      </c>
      <c r="E2" cm="1">
        <f t="array" ref="E2">IFERROR(INDEX(wTask[StDev], MATCH(1, (wTask[Heuristic]=Table4[[#Headers],[LJF]]) * (wTask[Variance] = Table4[[#This Row],[Heuristic]]), 0)), "")</f>
        <v>0.30498560986089474</v>
      </c>
      <c r="F2" cm="1">
        <f t="array" ref="F2">IFERROR(INDEX(wTask[StDev], MATCH(1, (wTask[Heuristic]=Table4[[#Headers],[RR]]) * (wTask[Variance] = Table4[[#This Row],[Heuristic]]), 0)), "")</f>
        <v>4.2147741734680553</v>
      </c>
      <c r="G2" cm="1">
        <f t="array" ref="G2">IFERROR(INDEX(wTask[StDev], MATCH(1, (wTask[Heuristic]=Table4[[#Headers],[LBW]]) * (wTask[Variance] = Table4[[#This Row],[Heuristic]]), 0)), "")</f>
        <v>3.1658561769817224</v>
      </c>
      <c r="H2" cm="1">
        <f t="array" ref="H2">IFERROR(INDEX(wTask[StDev], MATCH(1, (wTask[Heuristic]=Table4[[#Headers],[WS]]) * (wTask[Variance] = Table4[[#This Row],[Heuristic]]), 0)), "")</f>
        <v>0.47080454189256238</v>
      </c>
    </row>
    <row r="3" spans="1:8" x14ac:dyDescent="0.45">
      <c r="A3">
        <v>0.01</v>
      </c>
      <c r="B3" cm="1">
        <f t="array" ref="B3">IFERROR(INDEX(wTask[StDev], MATCH(1, (wTask[Heuristic]=Table4[[#Headers],[FCFS]]) * (wTask[Variance] = Table4[[#This Row],[Heuristic]]), 0)), "")</f>
        <v>0.41064975614533827</v>
      </c>
      <c r="C3" cm="1">
        <f t="array" ref="C3">IFERROR(INDEX(wTask[StDev], MATCH(1, (wTask[Heuristic]=Table4[[#Headers],[LCFS]]) * (wTask[Variance] = Table4[[#This Row],[Heuristic]]), 0)), "")</f>
        <v>0.27837290137910858</v>
      </c>
      <c r="D3" cm="1">
        <f t="array" ref="D3">IFERROR(INDEX(wTask[StDev], MATCH(1, (wTask[Heuristic]=Table4[[#Headers],[SJF]]) * (wTask[Variance] = Table4[[#This Row],[Heuristic]]), 0)), "")</f>
        <v>0.58738055523371968</v>
      </c>
      <c r="E3" cm="1">
        <f t="array" ref="E3">IFERROR(INDEX(wTask[StDev], MATCH(1, (wTask[Heuristic]=Table4[[#Headers],[LJF]]) * (wTask[Variance] = Table4[[#This Row],[Heuristic]]), 0)), "")</f>
        <v>0.44250401755865648</v>
      </c>
      <c r="F3" cm="1">
        <f t="array" ref="F3">IFERROR(INDEX(wTask[StDev], MATCH(1, (wTask[Heuristic]=Table4[[#Headers],[RR]]) * (wTask[Variance] = Table4[[#This Row],[Heuristic]]), 0)), "")</f>
        <v>1.6136612356171087</v>
      </c>
      <c r="G3" cm="1">
        <f t="array" ref="G3">IFERROR(INDEX(wTask[StDev], MATCH(1, (wTask[Heuristic]=Table4[[#Headers],[LBW]]) * (wTask[Variance] = Table4[[#This Row],[Heuristic]]), 0)), "")</f>
        <v>0.68686825519890982</v>
      </c>
      <c r="H3" cm="1">
        <f t="array" ref="H3">IFERROR(INDEX(wTask[StDev], MATCH(1, (wTask[Heuristic]=Table4[[#Headers],[WS]]) * (wTask[Variance] = Table4[[#This Row],[Heuristic]]), 0)), "")</f>
        <v>0.5248944073705577</v>
      </c>
    </row>
    <row r="4" spans="1:8" x14ac:dyDescent="0.45">
      <c r="A4">
        <v>1.7999999999999999E-2</v>
      </c>
      <c r="B4" cm="1">
        <f t="array" ref="B4">IFERROR(INDEX(wTask[StDev], MATCH(1, (wTask[Heuristic]=Table4[[#Headers],[FCFS]]) * (wTask[Variance] = Table4[[#This Row],[Heuristic]]), 0)), "")</f>
        <v>0.55979510140367683</v>
      </c>
      <c r="C4" cm="1">
        <f t="array" ref="C4">IFERROR(INDEX(wTask[StDev], MATCH(1, (wTask[Heuristic]=Table4[[#Headers],[LCFS]]) * (wTask[Variance] = Table4[[#This Row],[Heuristic]]), 0)), "")</f>
        <v>0.29782755077393558</v>
      </c>
      <c r="D4" cm="1">
        <f t="array" ref="D4">IFERROR(INDEX(wTask[StDev], MATCH(1, (wTask[Heuristic]=Table4[[#Headers],[SJF]]) * (wTask[Variance] = Table4[[#This Row],[Heuristic]]), 0)), "")</f>
        <v>0.63382263993082477</v>
      </c>
      <c r="E4" cm="1">
        <f t="array" ref="E4">IFERROR(INDEX(wTask[StDev], MATCH(1, (wTask[Heuristic]=Table4[[#Headers],[LJF]]) * (wTask[Variance] = Table4[[#This Row],[Heuristic]]), 0)), "")</f>
        <v>0.17075290789779898</v>
      </c>
      <c r="F4" cm="1">
        <f t="array" ref="F4">IFERROR(INDEX(wTask[StDev], MATCH(1, (wTask[Heuristic]=Table4[[#Headers],[RR]]) * (wTask[Variance] = Table4[[#This Row],[Heuristic]]), 0)), "")</f>
        <v>7.6950986492846383</v>
      </c>
      <c r="G4" cm="1">
        <f t="array" ref="G4">IFERROR(INDEX(wTask[StDev], MATCH(1, (wTask[Heuristic]=Table4[[#Headers],[LBW]]) * (wTask[Variance] = Table4[[#This Row],[Heuristic]]), 0)), "")</f>
        <v>1.8202189810264278</v>
      </c>
      <c r="H4" cm="1">
        <f t="array" ref="H4">IFERROR(INDEX(wTask[StDev], MATCH(1, (wTask[Heuristic]=Table4[[#Headers],[WS]]) * (wTask[Variance] = Table4[[#This Row],[Heuristic]]), 0)), "")</f>
        <v>0.5314926831314053</v>
      </c>
    </row>
    <row r="5" spans="1:8" x14ac:dyDescent="0.45">
      <c r="A5">
        <v>3.1E-2</v>
      </c>
      <c r="B5" cm="1">
        <f t="array" ref="B5">IFERROR(INDEX(wTask[StDev], MATCH(1, (wTask[Heuristic]=Table4[[#Headers],[FCFS]]) * (wTask[Variance] = Table4[[#This Row],[Heuristic]]), 0)), "")</f>
        <v>0.27101891077930884</v>
      </c>
      <c r="C5" cm="1">
        <f t="array" ref="C5">IFERROR(INDEX(wTask[StDev], MATCH(1, (wTask[Heuristic]=Table4[[#Headers],[LCFS]]) * (wTask[Variance] = Table4[[#This Row],[Heuristic]]), 0)), "")</f>
        <v>0.72102488784290975</v>
      </c>
      <c r="D5" cm="1">
        <f t="array" ref="D5">IFERROR(INDEX(wTask[StDev], MATCH(1, (wTask[Heuristic]=Table4[[#Headers],[SJF]]) * (wTask[Variance] = Table4[[#This Row],[Heuristic]]), 0)), "")</f>
        <v>0.46579302151157809</v>
      </c>
      <c r="E5" cm="1">
        <f t="array" ref="E5">IFERROR(INDEX(wTask[StDev], MATCH(1, (wTask[Heuristic]=Table4[[#Headers],[LJF]]) * (wTask[Variance] = Table4[[#This Row],[Heuristic]]), 0)), "")</f>
        <v>0.40735474575471758</v>
      </c>
      <c r="F5" cm="1">
        <f t="array" ref="F5">IFERROR(INDEX(wTask[StDev], MATCH(1, (wTask[Heuristic]=Table4[[#Headers],[RR]]) * (wTask[Variance] = Table4[[#This Row],[Heuristic]]), 0)), "")</f>
        <v>6.5298092621454131</v>
      </c>
      <c r="G5" cm="1">
        <f t="array" ref="G5">IFERROR(INDEX(wTask[StDev], MATCH(1, (wTask[Heuristic]=Table4[[#Headers],[LBW]]) * (wTask[Variance] = Table4[[#This Row],[Heuristic]]), 0)), "")</f>
        <v>3.4495318845058094</v>
      </c>
      <c r="H5" cm="1">
        <f t="array" ref="H5">IFERROR(INDEX(wTask[StDev], MATCH(1, (wTask[Heuristic]=Table4[[#Headers],[WS]]) * (wTask[Variance] = Table4[[#This Row],[Heuristic]]), 0)), "")</f>
        <v>0.73347862197128222</v>
      </c>
    </row>
    <row r="6" spans="1:8" x14ac:dyDescent="0.45">
      <c r="A6">
        <v>5.6000000000000001E-2</v>
      </c>
      <c r="B6" cm="1">
        <f t="array" ref="B6">IFERROR(INDEX(wTask[StDev], MATCH(1, (wTask[Heuristic]=Table4[[#Headers],[FCFS]]) * (wTask[Variance] = Table4[[#This Row],[Heuristic]]), 0)), "")</f>
        <v>0.48359811712711276</v>
      </c>
      <c r="C6" cm="1">
        <f t="array" ref="C6">IFERROR(INDEX(wTask[StDev], MATCH(1, (wTask[Heuristic]=Table4[[#Headers],[LCFS]]) * (wTask[Variance] = Table4[[#This Row],[Heuristic]]), 0)), "")</f>
        <v>0.51702205519257616</v>
      </c>
      <c r="D6" cm="1">
        <f t="array" ref="D6">IFERROR(INDEX(wTask[StDev], MATCH(1, (wTask[Heuristic]=Table4[[#Headers],[SJF]]) * (wTask[Variance] = Table4[[#This Row],[Heuristic]]), 0)), "")</f>
        <v>0.45454996058372027</v>
      </c>
      <c r="E6" cm="1">
        <f t="array" ref="E6">IFERROR(INDEX(wTask[StDev], MATCH(1, (wTask[Heuristic]=Table4[[#Headers],[LJF]]) * (wTask[Variance] = Table4[[#This Row],[Heuristic]]), 0)), "")</f>
        <v>0.52856464442236317</v>
      </c>
      <c r="F6" cm="1">
        <f t="array" ref="F6">IFERROR(INDEX(wTask[StDev], MATCH(1, (wTask[Heuristic]=Table4[[#Headers],[RR]]) * (wTask[Variance] = Table4[[#This Row],[Heuristic]]), 0)), "")</f>
        <v>2.6980589730808755</v>
      </c>
      <c r="G6" cm="1">
        <f t="array" ref="G6">IFERROR(INDEX(wTask[StDev], MATCH(1, (wTask[Heuristic]=Table4[[#Headers],[LBW]]) * (wTask[Variance] = Table4[[#This Row],[Heuristic]]), 0)), "")</f>
        <v>2.2606893307130913</v>
      </c>
      <c r="H6" cm="1">
        <f t="array" ref="H6">IFERROR(INDEX(wTask[StDev], MATCH(1, (wTask[Heuristic]=Table4[[#Headers],[WS]]) * (wTask[Variance] = Table4[[#This Row],[Heuristic]]), 0)), "")</f>
        <v>0.32888887012011875</v>
      </c>
    </row>
    <row r="7" spans="1:8" x14ac:dyDescent="0.45">
      <c r="A7">
        <v>0.1</v>
      </c>
      <c r="B7" cm="1">
        <f t="array" ref="B7">IFERROR(INDEX(wTask[StDev], MATCH(1, (wTask[Heuristic]=Table4[[#Headers],[FCFS]]) * (wTask[Variance] = Table4[[#This Row],[Heuristic]]), 0)), "")</f>
        <v>0.18143838868577628</v>
      </c>
      <c r="C7" cm="1">
        <f t="array" ref="C7">IFERROR(INDEX(wTask[StDev], MATCH(1, (wTask[Heuristic]=Table4[[#Headers],[LCFS]]) * (wTask[Variance] = Table4[[#This Row],[Heuristic]]), 0)), "")</f>
        <v>0.34844272604451543</v>
      </c>
      <c r="D7" cm="1">
        <f t="array" ref="D7">IFERROR(INDEX(wTask[StDev], MATCH(1, (wTask[Heuristic]=Table4[[#Headers],[SJF]]) * (wTask[Variance] = Table4[[#This Row],[Heuristic]]), 0)), "")</f>
        <v>0.62776048157097608</v>
      </c>
      <c r="E7" cm="1">
        <f t="array" ref="E7">IFERROR(INDEX(wTask[StDev], MATCH(1, (wTask[Heuristic]=Table4[[#Headers],[LJF]]) * (wTask[Variance] = Table4[[#This Row],[Heuristic]]), 0)), "")</f>
        <v>0.37119791067420199</v>
      </c>
      <c r="F7" cm="1">
        <f t="array" ref="F7">IFERROR(INDEX(wTask[StDev], MATCH(1, (wTask[Heuristic]=Table4[[#Headers],[RR]]) * (wTask[Variance] = Table4[[#This Row],[Heuristic]]), 0)), "")</f>
        <v>3.4129602701402151</v>
      </c>
      <c r="G7" cm="1">
        <f t="array" ref="G7">IFERROR(INDEX(wTask[StDev], MATCH(1, (wTask[Heuristic]=Table4[[#Headers],[LBW]]) * (wTask[Variance] = Table4[[#This Row],[Heuristic]]), 0)), "")</f>
        <v>0.90908190866756777</v>
      </c>
      <c r="H7" cm="1">
        <f t="array" ref="H7">IFERROR(INDEX(wTask[StDev], MATCH(1, (wTask[Heuristic]=Table4[[#Headers],[WS]]) * (wTask[Variance] = Table4[[#This Row],[Heuristic]]), 0)), "")</f>
        <v>0.34225412910422648</v>
      </c>
    </row>
    <row r="8" spans="1:8" x14ac:dyDescent="0.45">
      <c r="A8">
        <v>0.18</v>
      </c>
      <c r="B8" cm="1">
        <f t="array" ref="B8">IFERROR(INDEX(wTask[StDev], MATCH(1, (wTask[Heuristic]=Table4[[#Headers],[FCFS]]) * (wTask[Variance] = Table4[[#This Row],[Heuristic]]), 0)), "")</f>
        <v>0.50335256585771837</v>
      </c>
      <c r="C8" cm="1">
        <f t="array" ref="C8">IFERROR(INDEX(wTask[StDev], MATCH(1, (wTask[Heuristic]=Table4[[#Headers],[LCFS]]) * (wTask[Variance] = Table4[[#This Row],[Heuristic]]), 0)), "")</f>
        <v>0.79532413029042093</v>
      </c>
      <c r="D8" cm="1">
        <f t="array" ref="D8">IFERROR(INDEX(wTask[StDev], MATCH(1, (wTask[Heuristic]=Table4[[#Headers],[SJF]]) * (wTask[Variance] = Table4[[#This Row],[Heuristic]]), 0)), "")</f>
        <v>0.80072996211096104</v>
      </c>
      <c r="E8" cm="1">
        <f t="array" ref="E8">IFERROR(INDEX(wTask[StDev], MATCH(1, (wTask[Heuristic]=Table4[[#Headers],[LJF]]) * (wTask[Variance] = Table4[[#This Row],[Heuristic]]), 0)), "")</f>
        <v>0.19585680710378645</v>
      </c>
      <c r="F8" cm="1">
        <f t="array" ref="F8">IFERROR(INDEX(wTask[StDev], MATCH(1, (wTask[Heuristic]=Table4[[#Headers],[RR]]) * (wTask[Variance] = Table4[[#This Row],[Heuristic]]), 0)), "")</f>
        <v>2.5121044077735952</v>
      </c>
      <c r="G8" cm="1">
        <f t="array" ref="G8">IFERROR(INDEX(wTask[StDev], MATCH(1, (wTask[Heuristic]=Table4[[#Headers],[LBW]]) * (wTask[Variance] = Table4[[#This Row],[Heuristic]]), 0)), "")</f>
        <v>1.6623761524463196</v>
      </c>
      <c r="H8" cm="1">
        <f t="array" ref="H8">IFERROR(INDEX(wTask[StDev], MATCH(1, (wTask[Heuristic]=Table4[[#Headers],[WS]]) * (wTask[Variance] = Table4[[#This Row],[Heuristic]]), 0)), "")</f>
        <v>0.27512870725454019</v>
      </c>
    </row>
    <row r="9" spans="1:8" x14ac:dyDescent="0.45">
      <c r="A9">
        <v>0.31</v>
      </c>
      <c r="B9" cm="1">
        <f t="array" ref="B9">IFERROR(INDEX(wTask[StDev], MATCH(1, (wTask[Heuristic]=Table4[[#Headers],[FCFS]]) * (wTask[Variance] = Table4[[#This Row],[Heuristic]]), 0)), "")</f>
        <v>0.78444049416694739</v>
      </c>
      <c r="C9" cm="1">
        <f t="array" ref="C9">IFERROR(INDEX(wTask[StDev], MATCH(1, (wTask[Heuristic]=Table4[[#Headers],[LCFS]]) * (wTask[Variance] = Table4[[#This Row],[Heuristic]]), 0)), "")</f>
        <v>0.67922981301536822</v>
      </c>
      <c r="D9" cm="1">
        <f t="array" ref="D9">IFERROR(INDEX(wTask[StDev], MATCH(1, (wTask[Heuristic]=Table4[[#Headers],[SJF]]) * (wTask[Variance] = Table4[[#This Row],[Heuristic]]), 0)), "")</f>
        <v>1.1265160772142699</v>
      </c>
      <c r="E9" cm="1">
        <f t="array" ref="E9">IFERROR(INDEX(wTask[StDev], MATCH(1, (wTask[Heuristic]=Table4[[#Headers],[LJF]]) * (wTask[Variance] = Table4[[#This Row],[Heuristic]]), 0)), "")</f>
        <v>0.20557838461818337</v>
      </c>
      <c r="F9" cm="1">
        <f t="array" ref="F9">IFERROR(INDEX(wTask[StDev], MATCH(1, (wTask[Heuristic]=Table4[[#Headers],[RR]]) * (wTask[Variance] = Table4[[#This Row],[Heuristic]]), 0)), "")</f>
        <v>4.6960586902446417</v>
      </c>
      <c r="G9" cm="1">
        <f t="array" ref="G9">IFERROR(INDEX(wTask[StDev], MATCH(1, (wTask[Heuristic]=Table4[[#Headers],[LBW]]) * (wTask[Variance] = Table4[[#This Row],[Heuristic]]), 0)), "")</f>
        <v>2.1268025100292394</v>
      </c>
      <c r="H9" cm="1">
        <f t="array" ref="H9">IFERROR(INDEX(wTask[StDev], MATCH(1, (wTask[Heuristic]=Table4[[#Headers],[WS]]) * (wTask[Variance] = Table4[[#This Row],[Heuristic]]), 0)), "")</f>
        <v>0.69446806182061782</v>
      </c>
    </row>
    <row r="10" spans="1:8" x14ac:dyDescent="0.45">
      <c r="A10">
        <v>0.56000000000000005</v>
      </c>
      <c r="B10" cm="1">
        <f t="array" ref="B10">IFERROR(INDEX(wTask[StDev], MATCH(1, (wTask[Heuristic]=Table4[[#Headers],[FCFS]]) * (wTask[Variance] = Table4[[#This Row],[Heuristic]]), 0)), "")</f>
        <v>0.67979792749185997</v>
      </c>
      <c r="C10" cm="1">
        <f t="array" ref="C10">IFERROR(INDEX(wTask[StDev], MATCH(1, (wTask[Heuristic]=Table4[[#Headers],[LCFS]]) * (wTask[Variance] = Table4[[#This Row],[Heuristic]]), 0)), "")</f>
        <v>1.7457909382282788</v>
      </c>
      <c r="D10" cm="1">
        <f t="array" ref="D10">IFERROR(INDEX(wTask[StDev], MATCH(1, (wTask[Heuristic]=Table4[[#Headers],[SJF]]) * (wTask[Variance] = Table4[[#This Row],[Heuristic]]), 0)), "")</f>
        <v>1.7423922252657931</v>
      </c>
      <c r="E10" cm="1">
        <f t="array" ref="E10">IFERROR(INDEX(wTask[StDev], MATCH(1, (wTask[Heuristic]=Table4[[#Headers],[LJF]]) * (wTask[Variance] = Table4[[#This Row],[Heuristic]]), 0)), "")</f>
        <v>0.27613945752101154</v>
      </c>
      <c r="F10" cm="1">
        <f t="array" ref="F10">IFERROR(INDEX(wTask[StDev], MATCH(1, (wTask[Heuristic]=Table4[[#Headers],[RR]]) * (wTask[Variance] = Table4[[#This Row],[Heuristic]]), 0)), "")</f>
        <v>9.4934117462234511</v>
      </c>
      <c r="G10" cm="1">
        <f t="array" ref="G10">IFERROR(INDEX(wTask[StDev], MATCH(1, (wTask[Heuristic]=Table4[[#Headers],[LBW]]) * (wTask[Variance] = Table4[[#This Row],[Heuristic]]), 0)), "")</f>
        <v>0.77758938392958787</v>
      </c>
      <c r="H10" cm="1">
        <f t="array" ref="H10">IFERROR(INDEX(wTask[StDev], MATCH(1, (wTask[Heuristic]=Table4[[#Headers],[WS]]) * (wTask[Variance] = Table4[[#This Row],[Heuristic]]), 0)), "")</f>
        <v>1.007537881835386</v>
      </c>
    </row>
    <row r="11" spans="1:8" x14ac:dyDescent="0.45">
      <c r="A11">
        <v>1</v>
      </c>
      <c r="B11" cm="1">
        <f t="array" ref="B11">IFERROR(INDEX(wTask[StDev], MATCH(1, (wTask[Heuristic]=Table4[[#Headers],[FCFS]]) * (wTask[Variance] = Table4[[#This Row],[Heuristic]]), 0)), "")</f>
        <v>0.56298028878066242</v>
      </c>
      <c r="C11" cm="1">
        <f t="array" ref="C11">IFERROR(INDEX(wTask[StDev], MATCH(1, (wTask[Heuristic]=Table4[[#Headers],[LCFS]]) * (wTask[Variance] = Table4[[#This Row],[Heuristic]]), 0)), "")</f>
        <v>1.1689022865729828</v>
      </c>
      <c r="D11" cm="1">
        <f t="array" ref="D11">IFERROR(INDEX(wTask[StDev], MATCH(1, (wTask[Heuristic]=Table4[[#Headers],[SJF]]) * (wTask[Variance] = Table4[[#This Row],[Heuristic]]), 0)), "")</f>
        <v>1.2210006483754756</v>
      </c>
      <c r="E11" cm="1">
        <f t="array" ref="E11">IFERROR(INDEX(wTask[StDev], MATCH(1, (wTask[Heuristic]=Table4[[#Headers],[LJF]]) * (wTask[Variance] = Table4[[#This Row],[Heuristic]]), 0)), "")</f>
        <v>0.17419306020109229</v>
      </c>
      <c r="F11" cm="1">
        <f t="array" ref="F11">IFERROR(INDEX(wTask[StDev], MATCH(1, (wTask[Heuristic]=Table4[[#Headers],[RR]]) * (wTask[Variance] = Table4[[#This Row],[Heuristic]]), 0)), "")</f>
        <v>9.3800325988535604</v>
      </c>
      <c r="G11" cm="1">
        <f t="array" ref="G11">IFERROR(INDEX(wTask[StDev], MATCH(1, (wTask[Heuristic]=Table4[[#Headers],[LBW]]) * (wTask[Variance] = Table4[[#This Row],[Heuristic]]), 0)), "")</f>
        <v>3.5562182824205606</v>
      </c>
      <c r="H11" cm="1">
        <f t="array" ref="H11">IFERROR(INDEX(wTask[StDev], MATCH(1, (wTask[Heuristic]=Table4[[#Headers],[WS]]) * (wTask[Variance] = Table4[[#This Row],[Heuristic]]), 0)), "")</f>
        <v>0.72157391628763223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C83AE6-2E13-4D88-8DC6-335438BFB9C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e586649-7317-42fb-8949-66923d34ba7e}" enabled="0" method="" siteId="{1e586649-7317-42fb-8949-66923d34ba7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wTask</vt:lpstr>
      <vt:lpstr>wOver</vt:lpstr>
      <vt:lpstr>Ratios</vt:lpstr>
      <vt:lpstr>task time stdev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Némo Chentre</dc:creator>
  <cp:lastModifiedBy>Némo Chentre</cp:lastModifiedBy>
  <dcterms:created xsi:type="dcterms:W3CDTF">2025-05-19T13:26:17Z</dcterms:created>
  <dcterms:modified xsi:type="dcterms:W3CDTF">2025-05-22T08:47:50Z</dcterms:modified>
</cp:coreProperties>
</file>